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A TS0-Terminology" sheetId="7" state="visible" r:id="rId7"/>
    <sheet xmlns:r="http://schemas.openxmlformats.org/officeDocument/2006/relationships" name="L2-B TS1-Submission" sheetId="8" state="visible" r:id="rId8"/>
    <sheet xmlns:r="http://schemas.openxmlformats.org/officeDocument/2006/relationships" name="L2-C TS2-Retrieval" sheetId="9" state="visible" r:id="rId9"/>
    <sheet xmlns:r="http://schemas.openxmlformats.org/officeDocument/2006/relationships" name="L2-D System Resilience"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'L2-A TS0-Terminology'!$A$9:$P$37</definedName>
    <definedName name="_xlnm.Print_Titles" localSheetId="6">'L2-A TS0-Terminology'!$9:$9</definedName>
    <definedName name="_xlnm.Print_Area" localSheetId="6">'L2-A TS0-Terminology'!$A$1:$P$37</definedName>
    <definedName name="_xlnm._FilterDatabase" localSheetId="7" hidden="1">'L2-B TS1-Submission'!$A$9:$P$87</definedName>
    <definedName name="_xlnm.Print_Titles" localSheetId="7">'L2-B TS1-Submission'!$9:$9</definedName>
    <definedName name="_xlnm.Print_Area" localSheetId="7">'L2-B TS1-Submission'!$A$1:$P$87</definedName>
    <definedName name="_xlnm._FilterDatabase" localSheetId="8" hidden="1">'L2-C TS2-Retrieval'!$A$9:$P$72</definedName>
    <definedName name="_xlnm.Print_Titles" localSheetId="8">'L2-C TS2-Retrieval'!$9:$9</definedName>
    <definedName name="_xlnm.Print_Area" localSheetId="8">'L2-C TS2-Retrieval'!$A$1:$P$72</definedName>
    <definedName name="_xlnm._FilterDatabase" localSheetId="9" hidden="1">'L2-D System Resilience'!$A$9:$P$82</definedName>
    <definedName name="_xlnm.Print_Titles" localSheetId="9">'L2-D System Resilience'!$9:$9</definedName>
    <definedName name="_xlnm.Print_Area" localSheetId="9">'L2-D System Resilience'!$A$1:$P$82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29"/>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unreleased draft · branch main · commit a02e58b (built 2026-10-19 11:55 PHT).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5"/>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IF((SUM('L2-A TS0-Terminology'!Q10:Q300)+SUM('L2-B TS1-Submission'!Q10:Q300)+SUM('L2-C TS2-Retrieval'!Q10:Q300)+SUM('L2-D System Resilience'!Q10:Q300))=0,0,(SUM('L2-A TS0-Terminology'!R10:R300)+SUM('L2-B TS1-Submission'!R10:R300)+SUM('L2-C TS2-Retrieval'!R10:R300)+SUM('L2-D System Resilience'!R10:R300))/(SUM('L2-A TS0-Terminology'!Q10:Q300)+SUM('L2-B TS1-Submission'!Q10:Q300)+SUM('L2-C TS2-Retrieval'!Q10:Q300)+SUM('L2-D System Resilience'!Q10:Q300)))</f>
        <v/>
      </c>
      <c r="D9" s="141" t="inlineStr">
        <is>
          <t>All parts</t>
        </is>
      </c>
      <c r="E9" s="142">
        <f>SUM(E10:E13)</f>
        <v/>
      </c>
      <c r="F9" s="142">
        <f>SUM(F10:F13)</f>
        <v/>
      </c>
      <c r="G9" s="139">
        <f>IF(('L2-A TS0-Terminology'!F7+'L2-B TS1-Submission'!F7+'L2-C TS2-Retrieval'!F7+'L2-D System Resilience'!F7)=0,0,(('L2-A TS0-Terminology'!F7+'L2-B TS1-Submission'!F7+'L2-C TS2-Retrieval'!F7+'L2-D System Resilience'!F7)-F9)/('L2-A TS0-Terminology'!F7+'L2-B TS1-Submission'!F7+'L2-C TS2-Retrieval'!F7+'L2-D System Resilience'!F7))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'L2-A TS0-Terminology'!D4</f>
        <v/>
      </c>
      <c r="D10" s="137" t="n">
        <v>0.85</v>
      </c>
      <c r="E10" s="144">
        <f>'L2-A TS0-Terminology'!D6</f>
        <v/>
      </c>
      <c r="F10" s="144">
        <f>'L2-A TS0-Terminology'!F4</f>
        <v/>
      </c>
      <c r="G10" s="145">
        <f>'L2-A TS0-Terminology'!D7</f>
        <v/>
      </c>
      <c r="H10" s="144">
        <f>'L2-A TS0-Terminology'!F6</f>
        <v/>
      </c>
      <c r="I10" s="146" t="inlineStr">
        <is>
          <t>(part of Level 2)</t>
        </is>
      </c>
    </row>
    <row r="11" ht="19.5" customHeight="1" s="125">
      <c r="B11" s="143" t="inlineStr">
        <is>
          <t xml:space="preserve">     2B  TS1 eReferral Submission</t>
        </is>
      </c>
      <c r="C11" s="144">
        <f>'L2-B TS1-Submission'!D4</f>
        <v/>
      </c>
      <c r="D11" s="137" t="n">
        <v>0.85</v>
      </c>
      <c r="E11" s="144">
        <f>'L2-B TS1-Submission'!D6</f>
        <v/>
      </c>
      <c r="F11" s="144">
        <f>'L2-B TS1-Submission'!F4</f>
        <v/>
      </c>
      <c r="G11" s="145">
        <f>'L2-B TS1-Submission'!D7</f>
        <v/>
      </c>
      <c r="H11" s="144">
        <f>'L2-B TS1-Submission'!F6</f>
        <v/>
      </c>
      <c r="I11" s="146" t="inlineStr">
        <is>
          <t>(part of Level 2)</t>
        </is>
      </c>
    </row>
    <row r="12" ht="19.5" customHeight="1" s="125">
      <c r="B12" s="143" t="inlineStr">
        <is>
          <t xml:space="preserve">     2C  TS2 eReferral Retrieval</t>
        </is>
      </c>
      <c r="C12" s="144">
        <f>'L2-C TS2-Retrieval'!D4</f>
        <v/>
      </c>
      <c r="D12" s="137" t="n">
        <v>0.85</v>
      </c>
      <c r="E12" s="144">
        <f>'L2-C TS2-Retrieval'!D6</f>
        <v/>
      </c>
      <c r="F12" s="144">
        <f>'L2-C TS2-Retrieval'!F4</f>
        <v/>
      </c>
      <c r="G12" s="145">
        <f>'L2-C TS2-Retrieval'!D7</f>
        <v/>
      </c>
      <c r="H12" s="144">
        <f>'L2-C TS2-Retrieval'!F6</f>
        <v/>
      </c>
      <c r="I12" s="146" t="inlineStr">
        <is>
          <t>(part of Level 2)</t>
        </is>
      </c>
    </row>
    <row r="13" ht="19.5" customHeight="1" s="125">
      <c r="B13" s="143" t="inlineStr">
        <is>
          <t xml:space="preserve">     2D  Security, Reliability &amp; Exception Handling</t>
        </is>
      </c>
      <c r="C13" s="144">
        <f>'L2-D System Resilience'!D4</f>
        <v/>
      </c>
      <c r="D13" s="137" t="n">
        <v>0.85</v>
      </c>
      <c r="E13" s="144">
        <f>'L2-D System Resilience'!D6</f>
        <v/>
      </c>
      <c r="F13" s="144">
        <f>'L2-D System Resilience'!F4</f>
        <v/>
      </c>
      <c r="G13" s="145">
        <f>'L2-D System Resilience'!D7</f>
        <v/>
      </c>
      <c r="H13" s="144">
        <f>'L2-D System Resilience'!F6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6"/>
    <row r="17"/>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0"/>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7"/>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COUNTIF('L2-A TS0-Terminology'!$T$10:$T$300,"Criterion")</f>
        <v/>
      </c>
      <c r="D32" s="158">
        <f>COUNTIFS('L2-A TS0-Terminology'!$H$10:$H$300,"Yes",'L2-A TS0-Terminology'!$T$10:$T$300,"Criterion")</f>
        <v/>
      </c>
      <c r="E32" s="158">
        <f>COUNTIFS('L2-A TS0-Terminology'!$H$10:$H$300,"Yes",'L2-A TS0-Terminology'!$T$10:$T$300,"Sub")</f>
        <v/>
      </c>
      <c r="F32" s="158">
        <f>COUNTIF('L2-A TS0-Terminology'!$T$10:$T$300,"Sub")</f>
        <v/>
      </c>
      <c r="G32" s="158">
        <f>COUNTIFS('L2-A TS0-Terminology'!$I$10:$I$300,0,'L2-A TS0-Terminology'!$T$10:$T$300,"Criterion")</f>
        <v/>
      </c>
      <c r="H32" s="158">
        <f>C32-G32</f>
        <v/>
      </c>
      <c r="I32" s="159">
        <f>D10</f>
        <v/>
      </c>
    </row>
    <row r="33" ht="14.25" customHeight="1" s="125">
      <c r="B33" s="151" t="inlineStr">
        <is>
          <t>2B TS1</t>
        </is>
      </c>
      <c r="C33" s="158">
        <f>COUNTIF('L2-B TS1-Submission'!$T$10:$T$300,"Criterion")</f>
        <v/>
      </c>
      <c r="D33" s="158">
        <f>COUNTIFS('L2-B TS1-Submission'!$H$10:$H$300,"Yes",'L2-B TS1-Submission'!$T$10:$T$300,"Criterion")</f>
        <v/>
      </c>
      <c r="E33" s="158">
        <f>COUNTIFS('L2-B TS1-Submission'!$H$10:$H$300,"Yes",'L2-B TS1-Submission'!$T$10:$T$300,"Sub")</f>
        <v/>
      </c>
      <c r="F33" s="158">
        <f>COUNTIF('L2-B TS1-Submission'!$T$10:$T$300,"Sub")</f>
        <v/>
      </c>
      <c r="G33" s="158">
        <f>COUNTIFS('L2-B TS1-Submission'!$I$10:$I$300,0,'L2-B TS1-Submission'!$T$10:$T$300,"Criterion")</f>
        <v/>
      </c>
      <c r="H33" s="158">
        <f>C33-G33</f>
        <v/>
      </c>
      <c r="I33" s="159">
        <f>D11</f>
        <v/>
      </c>
    </row>
    <row r="34" ht="14.25" customHeight="1" s="125">
      <c r="B34" s="151" t="inlineStr">
        <is>
          <t>2C TS2</t>
        </is>
      </c>
      <c r="C34" s="158">
        <f>COUNTIF('L2-C TS2-Retrieval'!$T$10:$T$300,"Criterion")</f>
        <v/>
      </c>
      <c r="D34" s="158">
        <f>COUNTIFS('L2-C TS2-Retrieval'!$H$10:$H$300,"Yes",'L2-C TS2-Retrieval'!$T$10:$T$300,"Criterion")</f>
        <v/>
      </c>
      <c r="E34" s="158">
        <f>COUNTIFS('L2-C TS2-Retrieval'!$H$10:$H$300,"Yes",'L2-C TS2-Retrieval'!$T$10:$T$300,"Sub")</f>
        <v/>
      </c>
      <c r="F34" s="158">
        <f>COUNTIF('L2-C TS2-Retrieval'!$T$10:$T$300,"Sub")</f>
        <v/>
      </c>
      <c r="G34" s="158">
        <f>COUNTIFS('L2-C TS2-Retrieval'!$I$10:$I$300,0,'L2-C TS2-Retrieval'!$T$10:$T$300,"Criterion")</f>
        <v/>
      </c>
      <c r="H34" s="158">
        <f>C34-G34</f>
        <v/>
      </c>
      <c r="I34" s="159">
        <f>D12</f>
        <v/>
      </c>
    </row>
    <row r="35" ht="14.25" customHeight="1" s="125">
      <c r="B35" s="151" t="inlineStr">
        <is>
          <t>2D Security, Reliability &amp; Exceptions</t>
        </is>
      </c>
      <c r="C35" s="158">
        <f>COUNTIF('L2-D System Resilience'!$T$10:$T$300,"Criterion")</f>
        <v/>
      </c>
      <c r="D35" s="158">
        <f>COUNTIFS('L2-D System Resilience'!$H$10:$H$300,"Yes",'L2-D System Resilience'!$T$10:$T$300,"Criterion")</f>
        <v/>
      </c>
      <c r="E35" s="158">
        <f>COUNTIFS('L2-D System Resilience'!$H$10:$H$300,"Yes",'L2-D System Resilience'!$T$10:$T$300,"Sub")</f>
        <v/>
      </c>
      <c r="F35" s="158">
        <f>COUNTIF('L2-D System Resilience'!$T$10:$T$300,"Sub")</f>
        <v/>
      </c>
      <c r="G35" s="158">
        <f>COUNTIFS('L2-D System Resilience'!$I$10:$I$300,0,'L2-D System Resilience'!$T$10:$T$300,"Criterion")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0"/>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3"/>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4"/>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3"/>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2"/>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6"/>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3"/>
    <row r="94" ht="14.25" customHeight="1" s="125">
      <c r="A94" s="163" t="inlineStr">
        <is>
          <t>Average TAT tolerance: ±1 minute (rounding). All other values must match exactly.</t>
        </is>
      </c>
    </row>
    <row r="95"/>
    <row r="96"/>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7"/>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4"/>
    <row r="125"/>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 data minimisation, retention and secure disposal (TB-11; NPC Circular 2023-06 §7–9,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 National Health Facility Registry; facilities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 intent = order; status per IG</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displayed as separate people —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per TB-05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 changing an ID in the URL / API does not reveal another facility's data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 admin functions unreachable by direct URL / API;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re-authentication required</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exposed by the EMR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 blocked or rejection shown;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 queued or documented fallback followed;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 no loss;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 cached valid codes or clear block;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 cached NHFR list or clear block;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cancellation is not supported by the IG version)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main · commit a02e58b · built 2026-10-19 11:55 PHT</oddHeader>
    <oddFooter>&amp;C&amp;7 Page &amp;P of &amp;N</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"&amp;(('L2-A TS0-Terminology'!F7+'L2-B TS1-Submission'!F7+'L2-C TS2-Retrieval'!F7+'L2-D System Resilience'!F7)-('L2-A TS0-Terminology'!F4+'L2-B TS1-Submission'!F4+'L2-C TS2-Retrieval'!F4+'L2-D System Resilience'!F4))&amp;" of "&amp;('L2-A TS0-Terminology'!F7+'L2-B TS1-Submission'!F7+'L2-C TS2-Retrieval'!F7+'L2-D System Resilience'!F7)&amp;" tested"&amp;IF(('L2-A TS0-Terminology'!F4+'L2-B TS1-Submission'!F4+'L2-C TS2-Retrieval'!F4+'L2-D System Resilience'!F4)&gt;0," · "&amp;('L2-A TS0-Terminology'!F4+'L2-B TS1-Submission'!F4+'L2-C TS2-Retrieval'!F4+'L2-D System Resilience'!F4)&amp;" not tested","")&amp;CHAR(10)&amp;"Critical: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of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Resilience'!T10:T300,"Criterion"))&amp;" tested"&amp;IF((COUNTIFS('L2-A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Tested"))&gt;0," · "&amp;(COUNTIFS('L2-A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not tested","")&amp;IF(('L2-A TS0-Terminology'!D6+'L2-B TS1-Submission'!D6+'L2-C TS2-Retrieval'!D6+'L2-D System Resilience'!D6)&gt;0," · "&amp;('L2-A TS0-Terminology'!D6+'L2-B TS1-Submission'!D6+'L2-C TS2-Retrieval'!D6+'L2-D System Resilience'!D6)&amp;" NOT MET","")&amp;CHAR(10)&amp;IF(((COUNTIFS('L2-A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Resilience'!T10:T300,"Criterion")))&gt;0,((COUNTIFS('L2-A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Resilience'!T10:T300,"Criterion")))&amp;" item(s) need compliance",IF(('L2-A TS0-Terminology'!F4+'L2-B TS1-Submission'!F4+'L2-C TS2-Retrieval'!F4+'L2-D System Resilience'!F4)=0,"No findings","No findings so far"))</f>
        <v/>
      </c>
    </row>
    <row r="29" ht="25.5" customHeight="1" s="125">
      <c r="A29" s="209" t="inlineStr">
        <is>
          <t>2A</t>
        </is>
      </c>
      <c r="B29" s="207">
        <f>"2A · TS0 Terminology &amp; Registries (gate)"&amp;CHAR(10)&amp;REPT("█",ROUND('L2-A TS0-Terminology'!D7*10,0))&amp;REPT("░",10-ROUND('L2-A TS0-Terminology'!D7*10,0))&amp;"  "&amp;TEXT('L2-A TS0-Terminology'!D7,"0%")&amp;" evaluated"</f>
        <v/>
      </c>
      <c r="C29" s="211">
        <f>Summary!D10</f>
        <v/>
      </c>
      <c r="D29" s="209">
        <f>Summary!H10</f>
        <v/>
      </c>
      <c r="E29" s="212">
        <f>Summary!C10</f>
        <v/>
      </c>
      <c r="F29" s="213">
        <f>"Items: "&amp;(('L2-A TS0-Terminology'!F7)-('L2-A TS0-Terminology'!F4))&amp;" of "&amp;('L2-A TS0-Terminology'!F7)&amp;" tested"&amp;IF(('L2-A TS0-Terminology'!F4)&gt;0," · "&amp;('L2-A TS0-Terminology'!F4)&amp;" not tested","")&amp;CHAR(10)&amp;"Critical: "&amp;((COUNTIFS('L2-A TS0-Terminology'!H10:H300,"Yes",'L2-A TS0-Terminology'!T10:T300,"Criterion"))-(COUNTIFS('L2-A TS0-Terminology'!H10:H300,"Yes",'L2-A TS0-Terminology'!T10:T300,"Criterion",'L2-A TS0-Terminology'!M10:M300,"Not Tested")))&amp;" of "&amp;(COUNTIFS('L2-A TS0-Terminology'!H10:H300,"Yes",'L2-A TS0-Terminology'!T10:T300,"Criterion"))&amp;" tested"&amp;IF((COUNTIFS('L2-A TS0-Terminology'!H10:H300,"Yes",'L2-A TS0-Terminology'!T10:T300,"Criterion",'L2-A TS0-Terminology'!M10:M300,"Not Tested"))&gt;0," · "&amp;(COUNTIFS('L2-A TS0-Terminology'!H10:H300,"Yes",'L2-A TS0-Terminology'!T10:T300,"Criterion",'L2-A TS0-Terminology'!M10:M300,"Not Tested"))&amp;" not tested","")&amp;IF(('L2-A TS0-Terminology'!D6)&gt;0," · "&amp;('L2-A TS0-Terminology'!D6)&amp;" NOT MET","")&amp;CHAR(10)&amp;IF(((COUNTIFS('L2-A TS0-Terminology'!M10:M300,"Not Met",'L2-A TS0-Terminology'!T10:T300,"Criterion")+COUNTIFS('L2-A TS0-Terminology'!M10:M300,"Counted",'L2-A TS0-Terminology'!N10:N300,"&lt;1",'L2-A TS0-Terminology'!T10:T300,"Criterion")))&gt;0,((COUNTIFS('L2-A TS0-Terminology'!M10:M300,"Not Met",'L2-A TS0-Terminology'!T10:T300,"Criterion")+COUNTIFS('L2-A TS0-Terminology'!M10:M300,"Counted",'L2-A TS0-Terminology'!N10:N300,"&lt;1",'L2-A TS0-Terminology'!T10:T300,"Criterion")))&amp;" item(s) need compliance",IF(('L2-A TS0-Terminology'!F4)=0,"No findings","No findings so far"))</f>
        <v/>
      </c>
    </row>
    <row r="30" ht="25.5" customHeight="1" s="125">
      <c r="A30" s="209" t="inlineStr">
        <is>
          <t>2B</t>
        </is>
      </c>
      <c r="B30" s="207">
        <f>"2B · TS1 Submission"&amp;CHAR(10)&amp;REPT("█",ROUND('L2-B TS1-Submission'!D7*10,0))&amp;REPT("░",10-ROUND('L2-B TS1-Submission'!D7*10,0))&amp;"  "&amp;TEXT('L2-B TS1-Submission'!D7,"0%")&amp;" evaluated"</f>
        <v/>
      </c>
      <c r="C30" s="211">
        <f>Summary!D11</f>
        <v/>
      </c>
      <c r="D30" s="209">
        <f>Summary!H11</f>
        <v/>
      </c>
      <c r="E30" s="212">
        <f>Summary!C11</f>
        <v/>
      </c>
      <c r="F30" s="213">
        <f>"Items: "&amp;(('L2-B TS1-Submission'!F7)-('L2-B TS1-Submission'!F4))&amp;" of "&amp;('L2-B TS1-Submission'!F7)&amp;" tested"&amp;IF(('L2-B TS1-Submission'!F4)&gt;0," · "&amp;('L2-B TS1-Submission'!F4)&amp;" not tested","")&amp;CHAR(10)&amp;"Critical: "&amp;((COUNTIFS('L2-B TS1-Submission'!H10:H300,"Yes",'L2-B TS1-Submission'!T10:T300,"Criterion"))-(COUNTIFS('L2-B TS1-Submission'!H10:H300,"Yes",'L2-B TS1-Submission'!T10:T300,"Criterion",'L2-B TS1-Submission'!M10:M300,"Not Tested")))&amp;" of "&amp;(COUNTIFS('L2-B TS1-Submission'!H10:H300,"Yes",'L2-B TS1-Submission'!T10:T300,"Criterion"))&amp;" tested"&amp;IF((COUNTIFS('L2-B TS1-Submission'!H10:H300,"Yes",'L2-B TS1-Submission'!T10:T300,"Criterion",'L2-B TS1-Submission'!M10:M300,"Not Tested"))&gt;0," · "&amp;(COUNTIFS('L2-B TS1-Submission'!H10:H300,"Yes",'L2-B TS1-Submission'!T10:T300,"Criterion",'L2-B TS1-Submission'!M10:M300,"Not Tested"))&amp;" not tested","")&amp;IF(('L2-B TS1-Submission'!D6)&gt;0," · "&amp;('L2-B TS1-Submission'!D6)&amp;" NOT MET","")&amp;CHAR(10)&amp;IF(((COUNTIFS('L2-B TS1-Submission'!M10:M300,"Not Met",'L2-B TS1-Submission'!T10:T300,"Criterion")+COUNTIFS('L2-B TS1-Submission'!M10:M300,"Counted",'L2-B TS1-Submission'!N10:N300,"&lt;1",'L2-B TS1-Submission'!T10:T300,"Criterion")))&gt;0,((COUNTIFS('L2-B TS1-Submission'!M10:M300,"Not Met",'L2-B TS1-Submission'!T10:T300,"Criterion")+COUNTIFS('L2-B TS1-Submission'!M10:M300,"Counted",'L2-B TS1-Submission'!N10:N300,"&lt;1",'L2-B TS1-Submission'!T10:T300,"Criterion")))&amp;" item(s) need compliance",IF(('L2-B TS1-Submission'!F4)=0,"No findings","No findings so far"))</f>
        <v/>
      </c>
    </row>
    <row r="31" ht="25.5" customHeight="1" s="125">
      <c r="A31" s="209" t="inlineStr">
        <is>
          <t>2C</t>
        </is>
      </c>
      <c r="B31" s="207">
        <f>"2C · TS2 Retrieval"&amp;CHAR(10)&amp;REPT("█",ROUND('L2-C TS2-Retrieval'!D7*10,0))&amp;REPT("░",10-ROUND('L2-C TS2-Retrieval'!D7*10,0))&amp;"  "&amp;TEXT('L2-C TS2-Retrieval'!D7,"0%")&amp;" evaluated"</f>
        <v/>
      </c>
      <c r="C31" s="211">
        <f>Summary!D12</f>
        <v/>
      </c>
      <c r="D31" s="209">
        <f>Summary!H12</f>
        <v/>
      </c>
      <c r="E31" s="212">
        <f>Summary!C12</f>
        <v/>
      </c>
      <c r="F31" s="213">
        <f>"Items: "&amp;(('L2-C TS2-Retrieval'!F7)-('L2-C TS2-Retrieval'!F4))&amp;" of "&amp;('L2-C TS2-Retrieval'!F7)&amp;" tested"&amp;IF(('L2-C TS2-Retrieval'!F4)&gt;0," · "&amp;('L2-C TS2-Retrieval'!F4)&amp;" not tested","")&amp;CHAR(10)&amp;"Critical: "&amp;((COUNTIFS('L2-C TS2-Retrieval'!H10:H300,"Yes",'L2-C TS2-Retrieval'!T10:T300,"Criterion"))-(COUNTIFS('L2-C TS2-Retrieval'!H10:H300,"Yes",'L2-C TS2-Retrieval'!T10:T300,"Criterion",'L2-C TS2-Retrieval'!M10:M300,"Not Tested")))&amp;" of "&amp;(COUNTIFS('L2-C TS2-Retrieval'!H10:H300,"Yes",'L2-C TS2-Retrieval'!T10:T300,"Criterion"))&amp;" tested"&amp;IF((COUNTIFS('L2-C TS2-Retrieval'!H10:H300,"Yes",'L2-C TS2-Retrieval'!T10:T300,"Criterion",'L2-C TS2-Retrieval'!M10:M300,"Not Tested"))&gt;0," · "&amp;(COUNTIFS('L2-C TS2-Retrieval'!H10:H300,"Yes",'L2-C TS2-Retrieval'!T10:T300,"Criterion",'L2-C TS2-Retrieval'!M10:M300,"Not Tested"))&amp;" not tested","")&amp;IF(('L2-C TS2-Retrieval'!D6)&gt;0," · "&amp;('L2-C TS2-Retrieval'!D6)&amp;" NOT MET","")&amp;CHAR(10)&amp;IF(((COUNTIFS('L2-C TS2-Retrieval'!M10:M300,"Not Met",'L2-C TS2-Retrieval'!T10:T300,"Criterion")+COUNTIFS('L2-C TS2-Retrieval'!M10:M300,"Counted",'L2-C TS2-Retrieval'!N10:N300,"&lt;1",'L2-C TS2-Retrieval'!T10:T300,"Criterion")))&gt;0,((COUNTIFS('L2-C TS2-Retrieval'!M10:M300,"Not Met",'L2-C TS2-Retrieval'!T10:T300,"Criterion")+COUNTIFS('L2-C TS2-Retrieval'!M10:M300,"Counted",'L2-C TS2-Retrieval'!N10:N300,"&lt;1",'L2-C TS2-Retrieval'!T10:T300,"Criterion")))&amp;" item(s) need compliance",IF(('L2-C TS2-Retrieval'!F4)=0,"No findings","No findings so far"))</f>
        <v/>
      </c>
    </row>
    <row r="32" ht="25.5" customHeight="1" s="125">
      <c r="A32" s="209" t="inlineStr">
        <is>
          <t>2D</t>
        </is>
      </c>
      <c r="B32" s="207">
        <f>"2D · Security, Reliability &amp; Exceptions"&amp;CHAR(10)&amp;REPT("█",ROUND('L2-D System Resilience'!D7*10,0))&amp;REPT("░",10-ROUND('L2-D System Resilience'!D7*10,0))&amp;"  "&amp;TEXT('L2-D System Resilience'!D7,"0%")&amp;" evaluated"</f>
        <v/>
      </c>
      <c r="C32" s="211">
        <f>Summary!D13</f>
        <v/>
      </c>
      <c r="D32" s="209">
        <f>Summary!H13</f>
        <v/>
      </c>
      <c r="E32" s="212">
        <f>Summary!C13</f>
        <v/>
      </c>
      <c r="F32" s="213">
        <f>"Items: "&amp;(('L2-D System Resilience'!F7)-('L2-D System Resilience'!F4))&amp;" of "&amp;('L2-D System Resilience'!F7)&amp;" tested"&amp;IF(('L2-D System Resilience'!F4)&gt;0," · "&amp;('L2-D System Resilience'!F4)&amp;" not tested","")&amp;CHAR(10)&amp;"Critical: "&amp;((COUNTIFS('L2-D System Resilience'!H10:H300,"Yes",'L2-D System Resilience'!T10:T300,"Criterion"))-(COUNTIFS('L2-D System Resilience'!H10:H300,"Yes",'L2-D System Resilience'!T10:T300,"Criterion",'L2-D System Resilience'!M10:M300,"Not Tested")))&amp;" of "&amp;(COUNTIFS('L2-D System Resilience'!H10:H300,"Yes",'L2-D System Resilience'!T10:T300,"Criterion"))&amp;" tested"&amp;IF((COUNTIFS('L2-D System Resilience'!H10:H300,"Yes",'L2-D System Resilience'!T10:T300,"Criterion",'L2-D System Resilience'!M10:M300,"Not Tested"))&gt;0," · "&amp;(COUNTIFS('L2-D System Resilience'!H10:H300,"Yes",'L2-D System Resilience'!T10:T300,"Criterion",'L2-D System Resilience'!M10:M300,"Not Tested"))&amp;" not tested","")&amp;IF(('L2-D System Resilience'!D6)&gt;0," · "&amp;('L2-D System Resilience'!D6)&amp;" NOT MET","")&amp;CHAR(10)&amp;IF(((COUNTIFS('L2-D System Resilience'!M10:M300,"Not Met",'L2-D System Resilience'!T10:T300,"Criterion")+COUNTIFS('L2-D System Resilience'!M10:M300,"Counted",'L2-D System Resilience'!N10:N300,"&lt;1",'L2-D System Resilience'!T10:T300,"Criterion")))&gt;0,((COUNTIFS('L2-D System Resilience'!M10:M300,"Not Met",'L2-D System Resilience'!T10:T300,"Criterion")+COUNTIFS('L2-D System Resilience'!M10:M300,"Counted",'L2-D System Resilience'!N10:N300,"&lt;1",'L2-D System Resilience'!T10:T300,"Criterion")))&amp;" item(s) need compliance",IF(('L2-D System Resilience'!F4)=0,"No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Advanced'!F7)*20,0))&amp;REPT("░",20-ROUND((('L0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  "&amp;(('L0 Application'!F7+'L1 Documentation'!F7+'L2-A TS0-Terminology'!F7+'L2-B TS1-Submission'!F7+'L2-C TS2-Retrieval'!F7+'L2-D System Resilience'!F7+'L3 Reports'!F7+'L4 Advanced'!F7)-('L0 Application'!F4+'L1 Documentation'!F4+'L2-A TS0-Terminology'!F4+'L2-B TS1-Submission'!F4+'L2-C TS2-Retrieval'!F4+'L2-D System Resilience'!F4+'L3 Reports'!F4+'L4 Advanced'!F4))&amp;" of "&amp;('L0 Application'!F7+'L1 Documentation'!F7+'L2-A TS0-Terminology'!F7+'L2-B TS1-Submission'!F7+'L2-C TS2-Retrieval'!F7+'L2-D System Resilience'!F7+'L3 Reports'!F7+'L4 Advanced'!F7)&amp;" criteria evaluated · critical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'L2-A TS0-Terminology'!D6</f>
        <v/>
      </c>
      <c r="D93" s="225">
        <f>IF(_xlfn.TEXTJOIN(", ",TRUE(),'L2-A TS0-Terminology'!$W$10:$W$300)="","—",_xlfn.TEXTJOIN(", ",TRUE(),'L2-A TS0-Terminology'!$W$10:$W$300))</f>
        <v/>
      </c>
      <c r="E93" s="203" t="n"/>
      <c r="F93" s="204" t="n"/>
    </row>
    <row r="94" ht="15" customHeight="1" s="125">
      <c r="A94" s="223" t="inlineStr">
        <is>
          <t>2B — TS1 Submission</t>
        </is>
      </c>
      <c r="B94" s="204" t="n"/>
      <c r="C94" s="224">
        <f>'L2-B TS1-Submission'!D6</f>
        <v/>
      </c>
      <c r="D94" s="225">
        <f>IF(_xlfn.TEXTJOIN(", ",TRUE(),'L2-B TS1-Submission'!$W$10:$W$300)="","—",_xlfn.TEXTJOIN(", ",TRUE(),'L2-B TS1-Submission'!$W$10:$W$300))</f>
        <v/>
      </c>
      <c r="E94" s="203" t="n"/>
      <c r="F94" s="204" t="n"/>
    </row>
    <row r="95" ht="15" customHeight="1" s="125">
      <c r="A95" s="223" t="inlineStr">
        <is>
          <t>2C — TS2 Retrieval</t>
        </is>
      </c>
      <c r="B95" s="204" t="n"/>
      <c r="C95" s="224">
        <f>'L2-C TS2-Retrieval'!D6</f>
        <v/>
      </c>
      <c r="D95" s="225">
        <f>IF(_xlfn.TEXTJOIN(", ",TRUE(),'L2-C TS2-Retrieval'!$W$10:$W$300)="","—",_xlfn.TEXTJOIN(", ",TRUE(),'L2-C TS2-Retrieval'!$W$10:$W$300))</f>
        <v/>
      </c>
      <c r="E95" s="203" t="n"/>
      <c r="F95" s="204" t="n"/>
    </row>
    <row r="96" ht="15" customHeight="1" s="125">
      <c r="A96" s="223" t="inlineStr">
        <is>
          <t>2D — Security, Reliability &amp; Exceptions</t>
        </is>
      </c>
      <c r="B96" s="204" t="n"/>
      <c r="C96" s="224">
        <f>'L2-D System Resilience'!D6</f>
        <v/>
      </c>
      <c r="D96" s="225">
        <f>IF(_xlfn.TEXTJOIN(", ",TRUE(),'L2-D System Resilience'!$W$10:$W$300)="","—",_xlfn.TEXTJOIN(", ",TRUE(),'L2-D System Resilience'!$W$10:$W$300))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"&amp;TEXT('L2-A TS0-Terminology'!D4,"0.0%")&amp;"  ·  Threshold: "&amp;TEXT('L2-A TS0-Terminology'!D5,"0%")&amp;"  ·  Critical not met: "&amp;'L2-A TS0-Terminology'!D6&amp;"  ·  Not tested: "&amp;'L2-A TS0-Terminology'!F4&amp;" of "&amp;'L2-A TS0-Terminology'!F7&amp;"  ·  Status: "&amp;'L2-A TS0-Terminology'!F6</f>
        <v/>
      </c>
      <c r="B180" s="203" t="n"/>
      <c r="C180" s="203" t="n"/>
      <c r="D180" s="203" t="n"/>
      <c r="E180" s="203" t="n"/>
      <c r="F180" s="204" t="n"/>
    </row>
    <row r="181" ht="56" customHeight="1" s="125">
      <c r="A181" s="238">
        <f>'L2-A TS0-Terminology'!A10</f>
        <v/>
      </c>
      <c r="B181" s="239">
        <f>'L2-A TS0-Terminology'!C10&amp;CHAR(10)&amp;"["&amp;'L2-A TS0-Terminology'!B10&amp;" · "&amp;'L2-A TS0-Terminology'!G10&amp;"]"</f>
        <v/>
      </c>
      <c r="C181" s="240">
        <f>IF('L2-A TS0-Terminology'!I10=0,"Info only",IF('L2-A TS0-Terminology'!H10="Yes","★ CRITICAL"&amp;CHAR(10),IF('L2-A TS0-Terminology'!H10="★ subs","★ critical sub-items"&amp;CHAR(10),""))&amp;'L2-A TS0-Terminology'!J10&amp;" · W"&amp;'L2-A TS0-Terminology'!I10)</f>
        <v/>
      </c>
      <c r="D181" s="226">
        <f>IF('L2-A TS0-Terminology'!I10=0,"— Not scored",IF('L2-A TS0-Terminology'!J10="Tier",IF('L2-A TS0-Terminology'!M10="Fully integrated","✓ FULLY INTEGRATED",IF('L2-A TS0-Terminology'!M10="Not Met","✗ NOT MET",IF('L2-A TS0-Terminology'!M10="Not Tested","○ NOT TESTED","◐ "&amp;UPPER('L2-A TS0-Terminology'!M10)))),IF('L2-A TS0-Terminology'!M10="Met","✓ MET",IF('L2-A TS0-Terminology'!M10="Not Met","✗ NOT MET",IF('L2-A TS0-Terminology'!M10="N/A","— N/A",IF('L2-A TS0-Terminology'!M10="Counted",IF(AND('L2-A TS0-Terminology'!N10&gt;=1,'L2-A TS0-Terminology'!S10=0),"✓ MET",IF('L2-A TS0-Terminology'!J10="All-or-nothing","✗ NOT MET",IF('L2-A TS0-Terminology'!S10=1,"✗ NOT MET (★)","◐ PARTIAL")))&amp;CHAR(10)&amp;"("&amp;'L2-A TS0-Terminology'!L10&amp;" of "&amp;'L2-A TS0-Terminology'!K10&amp;")","○ NOT TESTED"))))))</f>
        <v/>
      </c>
      <c r="E181" s="241">
        <f>IF('L2-A TS0-Terminology'!N10="","—",'L2-A TS0-Terminology'!N10)</f>
        <v/>
      </c>
      <c r="F181" s="223">
        <f>'L2-A TS0-Terminology'!O10&amp;IF('L2-A TS0-Terminology'!P10&lt;&gt;"",CHAR(10)&amp;"Notes: "&amp;'L2-A TS0-Terminology'!P10,"")</f>
        <v/>
      </c>
    </row>
    <row r="182" ht="172" customHeight="1" s="125">
      <c r="A182" s="242" t="n"/>
      <c r="B182" s="243">
        <f>"Developer's Guide: "&amp;IFERROR(LEFT('L2-A TS0-Terminology'!D10,FIND(CHAR(10)&amp;CHAR(10)&amp;"Purpose:",'L2-A TS0-Terminology'!D10)-1),'L2-A TS0-Terminology'!D10)</f>
        <v/>
      </c>
      <c r="C182" s="243">
        <f>"Validator's Guide: "&amp;'L2-A TS0-Terminology'!E10&amp;CHAR(10)&amp;"Evidence: "&amp;'L2-A TS0-Terminology'!F10</f>
        <v/>
      </c>
      <c r="D182" s="203" t="n"/>
      <c r="E182" s="203" t="n"/>
      <c r="F182" s="204" t="n"/>
    </row>
    <row r="183" ht="16" customHeight="1" s="125">
      <c r="A183" s="244">
        <f>'L2-A TS0-Terminology'!A11</f>
        <v/>
      </c>
      <c r="B183" s="245">
        <f>"   ↳  "&amp;IF('L2-A TS0-Terminology'!H11="Yes","★ ","")&amp;'L2-A TS0-Terminology'!C11</f>
        <v/>
      </c>
      <c r="C183" s="204" t="n"/>
      <c r="D183" s="240">
        <f>IF('L2-A TS0-Terminology'!M11="Met","✓ Met",IF('L2-A TS0-Terminology'!M11="Not Met","✗ Not met",IF('L2-A TS0-Terminology'!M11="N/A","— N/A","○ Not tested")))</f>
        <v/>
      </c>
      <c r="E183" s="245" t="n"/>
      <c r="F183" s="245">
        <f>IF('L2-A TS0-Terminology'!P11&lt;&gt;"",'L2-A TS0-Terminology'!P11,"")</f>
        <v/>
      </c>
    </row>
    <row r="184" ht="29" customHeight="1" s="125">
      <c r="A184" s="244">
        <f>'L2-A TS0-Terminology'!A12</f>
        <v/>
      </c>
      <c r="B184" s="245">
        <f>"   ↳  "&amp;IF('L2-A TS0-Terminology'!H12="Yes","★ ","")&amp;'L2-A TS0-Terminology'!C12</f>
        <v/>
      </c>
      <c r="C184" s="204" t="n"/>
      <c r="D184" s="240">
        <f>IF('L2-A TS0-Terminology'!M12="Met","✓ Met",IF('L2-A TS0-Terminology'!M12="Not Met","✗ Not met",IF('L2-A TS0-Terminology'!M12="N/A","— N/A","○ Not tested")))</f>
        <v/>
      </c>
      <c r="E184" s="245" t="n"/>
      <c r="F184" s="245">
        <f>IF('L2-A TS0-Terminology'!P12&lt;&gt;"",'L2-A TS0-Terminology'!P12,"")</f>
        <v/>
      </c>
    </row>
    <row r="185" ht="29" customHeight="1" s="125">
      <c r="A185" s="244">
        <f>'L2-A TS0-Terminology'!A13</f>
        <v/>
      </c>
      <c r="B185" s="245">
        <f>"   ↳  "&amp;IF('L2-A TS0-Terminology'!H13="Yes","★ ","")&amp;'L2-A TS0-Terminology'!C13</f>
        <v/>
      </c>
      <c r="C185" s="204" t="n"/>
      <c r="D185" s="240">
        <f>IF('L2-A TS0-Terminology'!M13="Met","✓ Met",IF('L2-A TS0-Terminology'!M13="Not Met","✗ Not met",IF('L2-A TS0-Terminology'!M13="N/A","— N/A","○ Not tested")))</f>
        <v/>
      </c>
      <c r="E185" s="245" t="n"/>
      <c r="F185" s="245">
        <f>IF('L2-A TS0-Terminology'!P13&lt;&gt;"",'L2-A TS0-Terminology'!P13,"")</f>
        <v/>
      </c>
    </row>
    <row r="186" ht="42" customHeight="1" s="125">
      <c r="A186" s="244">
        <f>'L2-A TS0-Terminology'!A14</f>
        <v/>
      </c>
      <c r="B186" s="245">
        <f>"   ↳  "&amp;IF('L2-A TS0-Terminology'!H14="Yes","★ ","")&amp;'L2-A TS0-Terminology'!C14</f>
        <v/>
      </c>
      <c r="C186" s="204" t="n"/>
      <c r="D186" s="240">
        <f>IF('L2-A TS0-Terminology'!M14="Met","✓ Met",IF('L2-A TS0-Terminology'!M14="Not Met","✗ Not met",IF('L2-A TS0-Terminology'!M14="N/A","— N/A","○ Not tested")))</f>
        <v/>
      </c>
      <c r="E186" s="245" t="n"/>
      <c r="F186" s="245">
        <f>IF('L2-A TS0-Terminology'!P14&lt;&gt;"",'L2-A TS0-Terminology'!P14,"")</f>
        <v/>
      </c>
    </row>
    <row r="187" ht="43" customHeight="1" s="125">
      <c r="A187" s="238">
        <f>'L2-A TS0-Terminology'!A15</f>
        <v/>
      </c>
      <c r="B187" s="239">
        <f>'L2-A TS0-Terminology'!C15&amp;CHAR(10)&amp;"["&amp;'L2-A TS0-Terminology'!B15&amp;" · "&amp;'L2-A TS0-Terminology'!G15&amp;"]"</f>
        <v/>
      </c>
      <c r="C187" s="240">
        <f>IF('L2-A TS0-Terminology'!I15=0,"Info only",IF('L2-A TS0-Terminology'!H15="Yes","★ CRITICAL"&amp;CHAR(10),IF('L2-A TS0-Terminology'!H15="★ subs","★ critical sub-items"&amp;CHAR(10),""))&amp;'L2-A TS0-Terminology'!J15&amp;" · W"&amp;'L2-A TS0-Terminology'!I15)</f>
        <v/>
      </c>
      <c r="D187" s="226">
        <f>IF('L2-A TS0-Terminology'!I15=0,"— Not scored",IF('L2-A TS0-Terminology'!J15="Tier",IF('L2-A TS0-Terminology'!M15="Fully integrated","✓ FULLY INTEGRATED",IF('L2-A TS0-Terminology'!M15="Not Met","✗ NOT MET",IF('L2-A TS0-Terminology'!M15="Not Tested","○ NOT TESTED","◐ "&amp;UPPER('L2-A TS0-Terminology'!M15)))),IF('L2-A TS0-Terminology'!M15="Met","✓ MET",IF('L2-A TS0-Terminology'!M15="Not Met","✗ NOT MET",IF('L2-A TS0-Terminology'!M15="N/A","— N/A",IF('L2-A TS0-Terminology'!M15="Counted",IF(AND('L2-A TS0-Terminology'!N15&gt;=1,'L2-A TS0-Terminology'!S15=0),"✓ MET",IF('L2-A TS0-Terminology'!J15="All-or-nothing","✗ NOT MET",IF('L2-A TS0-Terminology'!S15=1,"✗ NOT MET (★)","◐ PARTIAL")))&amp;CHAR(10)&amp;"("&amp;'L2-A TS0-Terminology'!L15&amp;" of "&amp;'L2-A TS0-Terminology'!K15&amp;")","○ NOT TESTED"))))))</f>
        <v/>
      </c>
      <c r="E187" s="241">
        <f>IF('L2-A TS0-Terminology'!N15="","—",'L2-A TS0-Terminology'!N15)</f>
        <v/>
      </c>
      <c r="F187" s="223">
        <f>'L2-A TS0-Terminology'!O15&amp;IF('L2-A TS0-Terminology'!P15&lt;&gt;"",CHAR(10)&amp;"Notes: "&amp;'L2-A TS0-Terminology'!P15,"")</f>
        <v/>
      </c>
    </row>
    <row r="188" ht="220" customHeight="1" s="125">
      <c r="A188" s="242" t="n"/>
      <c r="B188" s="243">
        <f>"Developer's Guide: "&amp;IFERROR(LEFT('L2-A TS0-Terminology'!D15,FIND(CHAR(10)&amp;CHAR(10)&amp;"Purpose:",'L2-A TS0-Terminology'!D15)-1),'L2-A TS0-Terminology'!D15)</f>
        <v/>
      </c>
      <c r="C188" s="243">
        <f>"Validator's Guide: "&amp;'L2-A TS0-Terminology'!E15&amp;CHAR(10)&amp;"Evidence: "&amp;'L2-A TS0-Terminology'!F15</f>
        <v/>
      </c>
      <c r="D188" s="203" t="n"/>
      <c r="E188" s="203" t="n"/>
      <c r="F188" s="204" t="n"/>
    </row>
    <row r="189" ht="29" customHeight="1" s="125">
      <c r="A189" s="244">
        <f>'L2-A TS0-Terminology'!A16</f>
        <v/>
      </c>
      <c r="B189" s="245">
        <f>"   ↳  "&amp;IF('L2-A TS0-Terminology'!H16="Yes","★ ","")&amp;'L2-A TS0-Terminology'!C16</f>
        <v/>
      </c>
      <c r="C189" s="204" t="n"/>
      <c r="D189" s="240">
        <f>IF('L2-A TS0-Terminology'!M16="Met","✓ Met",IF('L2-A TS0-Terminology'!M16="Not Met","✗ Not met",IF('L2-A TS0-Terminology'!M16="N/A","— N/A","○ Not tested")))</f>
        <v/>
      </c>
      <c r="E189" s="245" t="n"/>
      <c r="F189" s="245">
        <f>IF('L2-A TS0-Terminology'!P16&lt;&gt;"",'L2-A TS0-Terminology'!P16,"")</f>
        <v/>
      </c>
    </row>
    <row r="190" ht="29" customHeight="1" s="125">
      <c r="A190" s="244">
        <f>'L2-A TS0-Terminology'!A17</f>
        <v/>
      </c>
      <c r="B190" s="245">
        <f>"   ↳  "&amp;IF('L2-A TS0-Terminology'!H17="Yes","★ ","")&amp;'L2-A TS0-Terminology'!C17</f>
        <v/>
      </c>
      <c r="C190" s="204" t="n"/>
      <c r="D190" s="240">
        <f>IF('L2-A TS0-Terminology'!M17="Met","✓ Met",IF('L2-A TS0-Terminology'!M17="Not Met","✗ Not met",IF('L2-A TS0-Terminology'!M17="N/A","— N/A","○ Not tested")))</f>
        <v/>
      </c>
      <c r="E190" s="245" t="n"/>
      <c r="F190" s="245">
        <f>IF('L2-A TS0-Terminology'!P17&lt;&gt;"",'L2-A TS0-Terminology'!P17,"")</f>
        <v/>
      </c>
    </row>
    <row r="191" ht="29" customHeight="1" s="125">
      <c r="A191" s="244">
        <f>'L2-A TS0-Terminology'!A18</f>
        <v/>
      </c>
      <c r="B191" s="245">
        <f>"   ↳  "&amp;IF('L2-A TS0-Terminology'!H18="Yes","★ ","")&amp;'L2-A TS0-Terminology'!C18</f>
        <v/>
      </c>
      <c r="C191" s="204" t="n"/>
      <c r="D191" s="240">
        <f>IF('L2-A TS0-Terminology'!M18="Met","✓ Met",IF('L2-A TS0-Terminology'!M18="Not Met","✗ Not met",IF('L2-A TS0-Terminology'!M18="N/A","— N/A","○ Not tested")))</f>
        <v/>
      </c>
      <c r="E191" s="245" t="n"/>
      <c r="F191" s="245">
        <f>IF('L2-A TS0-Terminology'!P18&lt;&gt;"",'L2-A TS0-Terminology'!P18,"")</f>
        <v/>
      </c>
    </row>
    <row r="192" ht="29" customHeight="1" s="125">
      <c r="A192" s="244">
        <f>'L2-A TS0-Terminology'!A19</f>
        <v/>
      </c>
      <c r="B192" s="245">
        <f>"   ↳  "&amp;IF('L2-A TS0-Terminology'!H19="Yes","★ ","")&amp;'L2-A TS0-Terminology'!C19</f>
        <v/>
      </c>
      <c r="C192" s="204" t="n"/>
      <c r="D192" s="240">
        <f>IF('L2-A TS0-Terminology'!M19="Met","✓ Met",IF('L2-A TS0-Terminology'!M19="Not Met","✗ Not met",IF('L2-A TS0-Terminology'!M19="N/A","— N/A","○ Not tested")))</f>
        <v/>
      </c>
      <c r="E192" s="245" t="n"/>
      <c r="F192" s="245">
        <f>IF('L2-A TS0-Terminology'!P19&lt;&gt;"",'L2-A TS0-Terminology'!P19,"")</f>
        <v/>
      </c>
    </row>
    <row r="193" ht="29" customHeight="1" s="125">
      <c r="A193" s="244">
        <f>'L2-A TS0-Terminology'!A20</f>
        <v/>
      </c>
      <c r="B193" s="245">
        <f>"   ↳  "&amp;IF('L2-A TS0-Terminology'!H20="Yes","★ ","")&amp;'L2-A TS0-Terminology'!C20</f>
        <v/>
      </c>
      <c r="C193" s="204" t="n"/>
      <c r="D193" s="240">
        <f>IF('L2-A TS0-Terminology'!M20="Met","✓ Met",IF('L2-A TS0-Terminology'!M20="Not Met","✗ Not met",IF('L2-A TS0-Terminology'!M20="N/A","— N/A","○ Not tested")))</f>
        <v/>
      </c>
      <c r="E193" s="245" t="n"/>
      <c r="F193" s="245">
        <f>IF('L2-A TS0-Terminology'!P20&lt;&gt;"",'L2-A TS0-Terminology'!P20,"")</f>
        <v/>
      </c>
    </row>
    <row r="194" ht="82" customHeight="1" s="125">
      <c r="A194" s="238">
        <f>'L2-A TS0-Terminology'!A21</f>
        <v/>
      </c>
      <c r="B194" s="239">
        <f>'L2-A TS0-Terminology'!C21&amp;CHAR(10)&amp;"["&amp;'L2-A TS0-Terminology'!B21&amp;" · "&amp;'L2-A TS0-Terminology'!G21&amp;"]"</f>
        <v/>
      </c>
      <c r="C194" s="240">
        <f>IF('L2-A TS0-Terminology'!I21=0,"Info only",IF('L2-A TS0-Terminology'!H21="Yes","★ CRITICAL"&amp;CHAR(10),IF('L2-A TS0-Terminology'!H21="★ subs","★ critical sub-items"&amp;CHAR(10),""))&amp;'L2-A TS0-Terminology'!J21&amp;" · W"&amp;'L2-A TS0-Terminology'!I21)</f>
        <v/>
      </c>
      <c r="D194" s="226">
        <f>IF('L2-A TS0-Terminology'!I21=0,"— Not scored",IF('L2-A TS0-Terminology'!J21="Tier",IF('L2-A TS0-Terminology'!M21="Fully integrated","✓ FULLY INTEGRATED",IF('L2-A TS0-Terminology'!M21="Not Met","✗ NOT MET",IF('L2-A TS0-Terminology'!M21="Not Tested","○ NOT TESTED","◐ "&amp;UPPER('L2-A TS0-Terminology'!M21)))),IF('L2-A TS0-Terminology'!M21="Met","✓ MET",IF('L2-A TS0-Terminology'!M21="Not Met","✗ NOT MET",IF('L2-A TS0-Terminology'!M21="N/A","— N/A",IF('L2-A TS0-Terminology'!M21="Counted",IF(AND('L2-A TS0-Terminology'!N21&gt;=1,'L2-A TS0-Terminology'!S21=0),"✓ MET",IF('L2-A TS0-Terminology'!J21="All-or-nothing","✗ NOT MET",IF('L2-A TS0-Terminology'!S21=1,"✗ NOT MET (★)","◐ PARTIAL")))&amp;CHAR(10)&amp;"("&amp;'L2-A TS0-Terminology'!L21&amp;" of "&amp;'L2-A TS0-Terminology'!K21&amp;")","○ NOT TESTED"))))))</f>
        <v/>
      </c>
      <c r="E194" s="241">
        <f>IF('L2-A TS0-Terminology'!N21="","—",'L2-A TS0-Terminology'!N21)</f>
        <v/>
      </c>
      <c r="F194" s="223">
        <f>'L2-A TS0-Terminology'!O21&amp;IF('L2-A TS0-Terminology'!P21&lt;&gt;"",CHAR(10)&amp;"Notes: "&amp;'L2-A TS0-Terminology'!P21,"")</f>
        <v/>
      </c>
    </row>
    <row r="195" ht="124" customHeight="1" s="125">
      <c r="A195" s="242" t="n"/>
      <c r="B195" s="243">
        <f>"Developer's Guide: "&amp;IFERROR(LEFT('L2-A TS0-Terminology'!D21,FIND(CHAR(10)&amp;CHAR(10)&amp;"Purpose:",'L2-A TS0-Terminology'!D21)-1),'L2-A TS0-Terminology'!D21)</f>
        <v/>
      </c>
      <c r="C195" s="243">
        <f>"Validator's Guide: "&amp;'L2-A TS0-Terminology'!E21&amp;CHAR(10)&amp;"Evidence: "&amp;'L2-A TS0-Terminology'!F21</f>
        <v/>
      </c>
      <c r="D195" s="203" t="n"/>
      <c r="E195" s="203" t="n"/>
      <c r="F195" s="204" t="n"/>
    </row>
    <row r="196" ht="43" customHeight="1" s="125">
      <c r="A196" s="238">
        <f>'L2-A TS0-Terminology'!A22</f>
        <v/>
      </c>
      <c r="B196" s="239">
        <f>'L2-A TS0-Terminology'!C22&amp;CHAR(10)&amp;"["&amp;'L2-A TS0-Terminology'!B22&amp;" · "&amp;'L2-A TS0-Terminology'!G22&amp;"]"</f>
        <v/>
      </c>
      <c r="C196" s="240">
        <f>IF('L2-A TS0-Terminology'!I22=0,"Info only",IF('L2-A TS0-Terminology'!H22="Yes","★ CRITICAL"&amp;CHAR(10),IF('L2-A TS0-Terminology'!H22="★ subs","★ critical sub-items"&amp;CHAR(10),""))&amp;'L2-A TS0-Terminology'!J22&amp;" · W"&amp;'L2-A TS0-Terminology'!I22)</f>
        <v/>
      </c>
      <c r="D196" s="226">
        <f>IF('L2-A TS0-Terminology'!I22=0,"— Not scored",IF('L2-A TS0-Terminology'!J22="Tier",IF('L2-A TS0-Terminology'!M22="Fully integrated","✓ FULLY INTEGRATED",IF('L2-A TS0-Terminology'!M22="Not Met","✗ NOT MET",IF('L2-A TS0-Terminology'!M22="Not Tested","○ NOT TESTED","◐ "&amp;UPPER('L2-A TS0-Terminology'!M22)))),IF('L2-A TS0-Terminology'!M22="Met","✓ MET",IF('L2-A TS0-Terminology'!M22="Not Met","✗ NOT MET",IF('L2-A TS0-Terminology'!M22="N/A","— N/A",IF('L2-A TS0-Terminology'!M22="Counted",IF(AND('L2-A TS0-Terminology'!N22&gt;=1,'L2-A TS0-Terminology'!S22=0),"✓ MET",IF('L2-A TS0-Terminology'!J22="All-or-nothing","✗ NOT MET",IF('L2-A TS0-Terminology'!S22=1,"✗ NOT MET (★)","◐ PARTIAL")))&amp;CHAR(10)&amp;"("&amp;'L2-A TS0-Terminology'!L22&amp;" of "&amp;'L2-A TS0-Terminology'!K22&amp;")","○ NOT TESTED"))))))</f>
        <v/>
      </c>
      <c r="E196" s="241">
        <f>IF('L2-A TS0-Terminology'!N22="","—",'L2-A TS0-Terminology'!N22)</f>
        <v/>
      </c>
      <c r="F196" s="223">
        <f>'L2-A TS0-Terminology'!O22&amp;IF('L2-A TS0-Terminology'!P22&lt;&gt;"",CHAR(10)&amp;"Notes: "&amp;'L2-A TS0-Terminology'!P22,"")</f>
        <v/>
      </c>
    </row>
    <row r="197" ht="88" customHeight="1" s="125">
      <c r="A197" s="242" t="n"/>
      <c r="B197" s="243">
        <f>"Developer's Guide: "&amp;IFERROR(LEFT('L2-A TS0-Terminology'!D22,FIND(CHAR(10)&amp;CHAR(10)&amp;"Purpose:",'L2-A TS0-Terminology'!D22)-1),'L2-A TS0-Terminology'!D22)</f>
        <v/>
      </c>
      <c r="C197" s="243">
        <f>"Validator's Guide: "&amp;'L2-A TS0-Terminology'!E22&amp;CHAR(10)&amp;"Evidence: "&amp;'L2-A TS0-Terminology'!F22</f>
        <v/>
      </c>
      <c r="D197" s="203" t="n"/>
      <c r="E197" s="203" t="n"/>
      <c r="F197" s="204" t="n"/>
    </row>
    <row r="198" ht="16" customHeight="1" s="125">
      <c r="A198" s="244">
        <f>'L2-A TS0-Terminology'!A23</f>
        <v/>
      </c>
      <c r="B198" s="245">
        <f>"   ↳  "&amp;IF('L2-A TS0-Terminology'!H23="Yes","★ ","")&amp;'L2-A TS0-Terminology'!C23</f>
        <v/>
      </c>
      <c r="C198" s="204" t="n"/>
      <c r="D198" s="240">
        <f>IF('L2-A TS0-Terminology'!M23="Met","✓ Met",IF('L2-A TS0-Terminology'!M23="Not Met","✗ Not met",IF('L2-A TS0-Terminology'!M23="N/A","— N/A","○ Not tested")))</f>
        <v/>
      </c>
      <c r="E198" s="245" t="n"/>
      <c r="F198" s="245">
        <f>IF('L2-A TS0-Terminology'!P23&lt;&gt;"",'L2-A TS0-Terminology'!P23,"")</f>
        <v/>
      </c>
    </row>
    <row r="199" ht="16" customHeight="1" s="125">
      <c r="A199" s="244">
        <f>'L2-A TS0-Terminology'!A24</f>
        <v/>
      </c>
      <c r="B199" s="245">
        <f>"   ↳  "&amp;IF('L2-A TS0-Terminology'!H24="Yes","★ ","")&amp;'L2-A TS0-Terminology'!C24</f>
        <v/>
      </c>
      <c r="C199" s="204" t="n"/>
      <c r="D199" s="240">
        <f>IF('L2-A TS0-Terminology'!M24="Met","✓ Met",IF('L2-A TS0-Terminology'!M24="Not Met","✗ Not met",IF('L2-A TS0-Terminology'!M24="N/A","— N/A","○ Not tested")))</f>
        <v/>
      </c>
      <c r="E199" s="245" t="n"/>
      <c r="F199" s="245">
        <f>IF('L2-A TS0-Terminology'!P24&lt;&gt;"",'L2-A TS0-Terminology'!P24,"")</f>
        <v/>
      </c>
    </row>
    <row r="200" ht="16" customHeight="1" s="125">
      <c r="A200" s="244">
        <f>'L2-A TS0-Terminology'!A25</f>
        <v/>
      </c>
      <c r="B200" s="245">
        <f>"   ↳  "&amp;IF('L2-A TS0-Terminology'!H25="Yes","★ ","")&amp;'L2-A TS0-Terminology'!C25</f>
        <v/>
      </c>
      <c r="C200" s="204" t="n"/>
      <c r="D200" s="240">
        <f>IF('L2-A TS0-Terminology'!M25="Met","✓ Met",IF('L2-A TS0-Terminology'!M25="Not Met","✗ Not met",IF('L2-A TS0-Terminology'!M25="N/A","— N/A","○ Not tested")))</f>
        <v/>
      </c>
      <c r="E200" s="245" t="n"/>
      <c r="F200" s="245">
        <f>IF('L2-A TS0-Terminology'!P25&lt;&gt;"",'L2-A TS0-Terminology'!P25,"")</f>
        <v/>
      </c>
    </row>
    <row r="201" ht="69" customHeight="1" s="125">
      <c r="A201" s="238">
        <f>'L2-A TS0-Terminology'!A26</f>
        <v/>
      </c>
      <c r="B201" s="239">
        <f>'L2-A TS0-Terminology'!C26&amp;CHAR(10)&amp;"["&amp;'L2-A TS0-Terminology'!B26&amp;" · "&amp;'L2-A TS0-Terminology'!G26&amp;"]"</f>
        <v/>
      </c>
      <c r="C201" s="240">
        <f>IF('L2-A TS0-Terminology'!I26=0,"Info only",IF('L2-A TS0-Terminology'!H26="Yes","★ CRITICAL"&amp;CHAR(10),IF('L2-A TS0-Terminology'!H26="★ subs","★ critical sub-items"&amp;CHAR(10),""))&amp;'L2-A TS0-Terminology'!J26&amp;" · W"&amp;'L2-A TS0-Terminology'!I26)</f>
        <v/>
      </c>
      <c r="D201" s="226">
        <f>IF('L2-A TS0-Terminology'!I26=0,"— Not scored",IF('L2-A TS0-Terminology'!J26="Tier",IF('L2-A TS0-Terminology'!M26="Fully integrated","✓ FULLY INTEGRATED",IF('L2-A TS0-Terminology'!M26="Not Met","✗ NOT MET",IF('L2-A TS0-Terminology'!M26="Not Tested","○ NOT TESTED","◐ "&amp;UPPER('L2-A TS0-Terminology'!M26)))),IF('L2-A TS0-Terminology'!M26="Met","✓ MET",IF('L2-A TS0-Terminology'!M26="Not Met","✗ NOT MET",IF('L2-A TS0-Terminology'!M26="N/A","— N/A",IF('L2-A TS0-Terminology'!M26="Counted",IF(AND('L2-A TS0-Terminology'!N26&gt;=1,'L2-A TS0-Terminology'!S26=0),"✓ MET",IF('L2-A TS0-Terminology'!J26="All-or-nothing","✗ NOT MET",IF('L2-A TS0-Terminology'!S26=1,"✗ NOT MET (★)","◐ PARTIAL")))&amp;CHAR(10)&amp;"("&amp;'L2-A TS0-Terminology'!L26&amp;" of "&amp;'L2-A TS0-Terminology'!K26&amp;")","○ NOT TESTED"))))))</f>
        <v/>
      </c>
      <c r="E201" s="241">
        <f>IF('L2-A TS0-Terminology'!N26="","—",'L2-A TS0-Terminology'!N26)</f>
        <v/>
      </c>
      <c r="F201" s="223">
        <f>'L2-A TS0-Terminology'!O26&amp;IF('L2-A TS0-Terminology'!P26&lt;&gt;"",CHAR(10)&amp;"Notes: "&amp;'L2-A TS0-Terminology'!P26,"")</f>
        <v/>
      </c>
    </row>
    <row r="202" ht="124" customHeight="1" s="125">
      <c r="A202" s="242" t="n"/>
      <c r="B202" s="243">
        <f>"Developer's Guide: "&amp;IFERROR(LEFT('L2-A TS0-Terminology'!D26,FIND(CHAR(10)&amp;CHAR(10)&amp;"Purpose:",'L2-A TS0-Terminology'!D26)-1),'L2-A TS0-Terminology'!D26)</f>
        <v/>
      </c>
      <c r="C202" s="243">
        <f>"Validator's Guide: "&amp;'L2-A TS0-Terminology'!E26&amp;CHAR(10)&amp;"Evidence: "&amp;'L2-A TS0-Terminology'!F26</f>
        <v/>
      </c>
      <c r="D202" s="203" t="n"/>
      <c r="E202" s="203" t="n"/>
      <c r="F202" s="204" t="n"/>
    </row>
    <row r="203" ht="29" customHeight="1" s="125">
      <c r="A203" s="244">
        <f>'L2-A TS0-Terminology'!A27</f>
        <v/>
      </c>
      <c r="B203" s="245">
        <f>"   ↳  "&amp;IF('L2-A TS0-Terminology'!H27="Yes","★ ","")&amp;'L2-A TS0-Terminology'!C27</f>
        <v/>
      </c>
      <c r="C203" s="204" t="n"/>
      <c r="D203" s="240">
        <f>IF('L2-A TS0-Terminology'!M27="Met","✓ Met",IF('L2-A TS0-Terminology'!M27="Not Met","✗ Not met",IF('L2-A TS0-Terminology'!M27="N/A","— N/A","○ Not tested")))</f>
        <v/>
      </c>
      <c r="E203" s="245" t="n"/>
      <c r="F203" s="245">
        <f>IF('L2-A TS0-Terminology'!P27&lt;&gt;"",'L2-A TS0-Terminology'!P27,"")</f>
        <v/>
      </c>
    </row>
    <row r="204" ht="29" customHeight="1" s="125">
      <c r="A204" s="244">
        <f>'L2-A TS0-Terminology'!A28</f>
        <v/>
      </c>
      <c r="B204" s="245">
        <f>"   ↳  "&amp;IF('L2-A TS0-Terminology'!H28="Yes","★ ","")&amp;'L2-A TS0-Terminology'!C28</f>
        <v/>
      </c>
      <c r="C204" s="204" t="n"/>
      <c r="D204" s="240">
        <f>IF('L2-A TS0-Terminology'!M28="Met","✓ Met",IF('L2-A TS0-Terminology'!M28="Not Met","✗ Not met",IF('L2-A TS0-Terminology'!M28="N/A","— N/A","○ Not tested")))</f>
        <v/>
      </c>
      <c r="E204" s="245" t="n"/>
      <c r="F204" s="245">
        <f>IF('L2-A TS0-Terminology'!P28&lt;&gt;"",'L2-A TS0-Terminology'!P28,"")</f>
        <v/>
      </c>
    </row>
    <row r="205" ht="29" customHeight="1" s="125">
      <c r="A205" s="244">
        <f>'L2-A TS0-Terminology'!A29</f>
        <v/>
      </c>
      <c r="B205" s="245">
        <f>"   ↳  "&amp;IF('L2-A TS0-Terminology'!H29="Yes","★ ","")&amp;'L2-A TS0-Terminology'!C29</f>
        <v/>
      </c>
      <c r="C205" s="204" t="n"/>
      <c r="D205" s="240">
        <f>IF('L2-A TS0-Terminology'!M29="Met","✓ Met",IF('L2-A TS0-Terminology'!M29="Not Met","✗ Not met",IF('L2-A TS0-Terminology'!M29="N/A","— N/A","○ Not tested")))</f>
        <v/>
      </c>
      <c r="E205" s="245" t="n"/>
      <c r="F205" s="245">
        <f>IF('L2-A TS0-Terminology'!P29&lt;&gt;"",'L2-A TS0-Terminology'!P29,"")</f>
        <v/>
      </c>
    </row>
    <row r="206" ht="56" customHeight="1" s="125">
      <c r="A206" s="238">
        <f>'L2-A TS0-Terminology'!A30</f>
        <v/>
      </c>
      <c r="B206" s="239">
        <f>'L2-A TS0-Terminology'!C30&amp;CHAR(10)&amp;"["&amp;'L2-A TS0-Terminology'!B30&amp;" · "&amp;'L2-A TS0-Terminology'!G30&amp;"]"</f>
        <v/>
      </c>
      <c r="C206" s="240">
        <f>IF('L2-A TS0-Terminology'!I30=0,"Info only",IF('L2-A TS0-Terminology'!H30="Yes","★ CRITICAL"&amp;CHAR(10),IF('L2-A TS0-Terminology'!H30="★ subs","★ critical sub-items"&amp;CHAR(10),""))&amp;'L2-A TS0-Terminology'!J30&amp;" · W"&amp;'L2-A TS0-Terminology'!I30)</f>
        <v/>
      </c>
      <c r="D206" s="226">
        <f>IF('L2-A TS0-Terminology'!I30=0,"— Not scored",IF('L2-A TS0-Terminology'!J30="Tier",IF('L2-A TS0-Terminology'!M30="Fully integrated","✓ FULLY INTEGRATED",IF('L2-A TS0-Terminology'!M30="Not Met","✗ NOT MET",IF('L2-A TS0-Terminology'!M30="Not Tested","○ NOT TESTED","◐ "&amp;UPPER('L2-A TS0-Terminology'!M30)))),IF('L2-A TS0-Terminology'!M30="Met","✓ MET",IF('L2-A TS0-Terminology'!M30="Not Met","✗ NOT MET",IF('L2-A TS0-Terminology'!M30="N/A","— N/A",IF('L2-A TS0-Terminology'!M30="Counted",IF(AND('L2-A TS0-Terminology'!N30&gt;=1,'L2-A TS0-Terminology'!S30=0),"✓ MET",IF('L2-A TS0-Terminology'!J30="All-or-nothing","✗ NOT MET",IF('L2-A TS0-Terminology'!S30=1,"✗ NOT MET (★)","◐ PARTIAL")))&amp;CHAR(10)&amp;"("&amp;'L2-A TS0-Terminology'!L30&amp;" of "&amp;'L2-A TS0-Terminology'!K30&amp;")","○ NOT TESTED"))))))</f>
        <v/>
      </c>
      <c r="E206" s="241">
        <f>IF('L2-A TS0-Terminology'!N30="","—",'L2-A TS0-Terminology'!N30)</f>
        <v/>
      </c>
      <c r="F206" s="223">
        <f>'L2-A TS0-Terminology'!O30&amp;IF('L2-A TS0-Terminology'!P30&lt;&gt;"",CHAR(10)&amp;"Notes: "&amp;'L2-A TS0-Terminology'!P30,"")</f>
        <v/>
      </c>
    </row>
    <row r="207" ht="160" customHeight="1" s="125">
      <c r="A207" s="242" t="n"/>
      <c r="B207" s="243">
        <f>"Developer's Guide: "&amp;IFERROR(LEFT('L2-A TS0-Terminology'!D30,FIND(CHAR(10)&amp;CHAR(10)&amp;"Purpose:",'L2-A TS0-Terminology'!D30)-1),'L2-A TS0-Terminology'!D30)</f>
        <v/>
      </c>
      <c r="C207" s="243">
        <f>"Validator's Guide: "&amp;'L2-A TS0-Terminology'!E30&amp;CHAR(10)&amp;"Evidence: "&amp;'L2-A TS0-Terminology'!F30</f>
        <v/>
      </c>
      <c r="D207" s="203" t="n"/>
      <c r="E207" s="203" t="n"/>
      <c r="F207" s="204" t="n"/>
    </row>
    <row r="208" ht="29" customHeight="1" s="125">
      <c r="A208" s="244">
        <f>'L2-A TS0-Terminology'!A31</f>
        <v/>
      </c>
      <c r="B208" s="245">
        <f>"   ↳  "&amp;IF('L2-A TS0-Terminology'!H31="Yes","★ ","")&amp;'L2-A TS0-Terminology'!C31</f>
        <v/>
      </c>
      <c r="C208" s="204" t="n"/>
      <c r="D208" s="240">
        <f>IF('L2-A TS0-Terminology'!M31="Met","✓ Met",IF('L2-A TS0-Terminology'!M31="Not Met","✗ Not met",IF('L2-A TS0-Terminology'!M31="N/A","— N/A","○ Not tested")))</f>
        <v/>
      </c>
      <c r="E208" s="245" t="n"/>
      <c r="F208" s="245">
        <f>IF('L2-A TS0-Terminology'!P31&lt;&gt;"",'L2-A TS0-Terminology'!P31,"")</f>
        <v/>
      </c>
    </row>
    <row r="209" ht="42" customHeight="1" s="125">
      <c r="A209" s="244">
        <f>'L2-A TS0-Terminology'!A32</f>
        <v/>
      </c>
      <c r="B209" s="245">
        <f>"   ↳  "&amp;IF('L2-A TS0-Terminology'!H32="Yes","★ ","")&amp;'L2-A TS0-Terminology'!C32</f>
        <v/>
      </c>
      <c r="C209" s="204" t="n"/>
      <c r="D209" s="240">
        <f>IF('L2-A TS0-Terminology'!M32="Met","✓ Met",IF('L2-A TS0-Terminology'!M32="Not Met","✗ Not met",IF('L2-A TS0-Terminology'!M32="N/A","— N/A","○ Not tested")))</f>
        <v/>
      </c>
      <c r="E209" s="245" t="n"/>
      <c r="F209" s="245">
        <f>IF('L2-A TS0-Terminology'!P32&lt;&gt;"",'L2-A TS0-Terminology'!P32,"")</f>
        <v/>
      </c>
    </row>
    <row r="210" ht="29" customHeight="1" s="125">
      <c r="A210" s="244">
        <f>'L2-A TS0-Terminology'!A33</f>
        <v/>
      </c>
      <c r="B210" s="245">
        <f>"   ↳  "&amp;IF('L2-A TS0-Terminology'!H33="Yes","★ ","")&amp;'L2-A TS0-Terminology'!C33</f>
        <v/>
      </c>
      <c r="C210" s="204" t="n"/>
      <c r="D210" s="240">
        <f>IF('L2-A TS0-Terminology'!M33="Met","✓ Met",IF('L2-A TS0-Terminology'!M33="Not Met","✗ Not met",IF('L2-A TS0-Terminology'!M33="N/A","— N/A","○ Not tested")))</f>
        <v/>
      </c>
      <c r="E210" s="245" t="n"/>
      <c r="F210" s="245">
        <f>IF('L2-A TS0-Terminology'!P33&lt;&gt;"",'L2-A TS0-Terminology'!P33,"")</f>
        <v/>
      </c>
    </row>
    <row r="211" ht="82" customHeight="1" s="125">
      <c r="A211" s="238">
        <f>'L2-A TS0-Terminology'!A34</f>
        <v/>
      </c>
      <c r="B211" s="239">
        <f>'L2-A TS0-Terminology'!C34&amp;CHAR(10)&amp;"["&amp;'L2-A TS0-Terminology'!B34&amp;" · "&amp;'L2-A TS0-Terminology'!G34&amp;"]"</f>
        <v/>
      </c>
      <c r="C211" s="240">
        <f>IF('L2-A TS0-Terminology'!I34=0,"Info only",IF('L2-A TS0-Terminology'!H34="Yes","★ CRITICAL"&amp;CHAR(10),IF('L2-A TS0-Terminology'!H34="★ subs","★ critical sub-items"&amp;CHAR(10),""))&amp;'L2-A TS0-Terminology'!J34&amp;" · W"&amp;'L2-A TS0-Terminology'!I34)</f>
        <v/>
      </c>
      <c r="D211" s="226">
        <f>IF('L2-A TS0-Terminology'!I34=0,"— Not scored",IF('L2-A TS0-Terminology'!J34="Tier",IF('L2-A TS0-Terminology'!M34="Fully integrated","✓ FULLY INTEGRATED",IF('L2-A TS0-Terminology'!M34="Not Met","✗ NOT MET",IF('L2-A TS0-Terminology'!M34="Not Tested","○ NOT TESTED","◐ "&amp;UPPER('L2-A TS0-Terminology'!M34)))),IF('L2-A TS0-Terminology'!M34="Met","✓ MET",IF('L2-A TS0-Terminology'!M34="Not Met","✗ NOT MET",IF('L2-A TS0-Terminology'!M34="N/A","— N/A",IF('L2-A TS0-Terminology'!M34="Counted",IF(AND('L2-A TS0-Terminology'!N34&gt;=1,'L2-A TS0-Terminology'!S34=0),"✓ MET",IF('L2-A TS0-Terminology'!J34="All-or-nothing","✗ NOT MET",IF('L2-A TS0-Terminology'!S34=1,"✗ NOT MET (★)","◐ PARTIAL")))&amp;CHAR(10)&amp;"("&amp;'L2-A TS0-Terminology'!L34&amp;" of "&amp;'L2-A TS0-Terminology'!K34&amp;")","○ NOT TESTED"))))))</f>
        <v/>
      </c>
      <c r="E211" s="241">
        <f>IF('L2-A TS0-Terminology'!N34="","—",'L2-A TS0-Terminology'!N34)</f>
        <v/>
      </c>
      <c r="F211" s="223">
        <f>'L2-A TS0-Terminology'!O34&amp;IF('L2-A TS0-Terminology'!P34&lt;&gt;"",CHAR(10)&amp;"Notes: "&amp;'L2-A TS0-Terminology'!P34,"")</f>
        <v/>
      </c>
    </row>
    <row r="212" ht="208" customHeight="1" s="125">
      <c r="A212" s="242" t="n"/>
      <c r="B212" s="243">
        <f>"Developer's Guide: "&amp;IFERROR(LEFT('L2-A TS0-Terminology'!D34,FIND(CHAR(10)&amp;CHAR(10)&amp;"Purpose:",'L2-A TS0-Terminology'!D34)-1),'L2-A TS0-Terminology'!D34)</f>
        <v/>
      </c>
      <c r="C212" s="243">
        <f>"Validator's Guide: "&amp;'L2-A TS0-Terminology'!E34&amp;CHAR(10)&amp;"Evidence: "&amp;'L2-A TS0-Terminology'!F34</f>
        <v/>
      </c>
      <c r="D212" s="203" t="n"/>
      <c r="E212" s="203" t="n"/>
      <c r="F212" s="204" t="n"/>
    </row>
    <row r="213" ht="29" customHeight="1" s="125">
      <c r="A213" s="244">
        <f>'L2-A TS0-Terminology'!A35</f>
        <v/>
      </c>
      <c r="B213" s="245">
        <f>"   ↳  "&amp;IF('L2-A TS0-Terminology'!H35="Yes","★ ","")&amp;'L2-A TS0-Terminology'!C35</f>
        <v/>
      </c>
      <c r="C213" s="204" t="n"/>
      <c r="D213" s="240">
        <f>IF('L2-A TS0-Terminology'!M35="Met","✓ Met",IF('L2-A TS0-Terminology'!M35="Not Met","✗ Not met",IF('L2-A TS0-Terminology'!M35="N/A","— N/A","○ Not tested")))</f>
        <v/>
      </c>
      <c r="E213" s="245" t="n"/>
      <c r="F213" s="245">
        <f>IF('L2-A TS0-Terminology'!P35&lt;&gt;"",'L2-A TS0-Terminology'!P35,"")</f>
        <v/>
      </c>
    </row>
    <row r="214" ht="29" customHeight="1" s="125">
      <c r="A214" s="244">
        <f>'L2-A TS0-Terminology'!A36</f>
        <v/>
      </c>
      <c r="B214" s="245">
        <f>"   ↳  "&amp;IF('L2-A TS0-Terminology'!H36="Yes","★ ","")&amp;'L2-A TS0-Terminology'!C36</f>
        <v/>
      </c>
      <c r="C214" s="204" t="n"/>
      <c r="D214" s="240">
        <f>IF('L2-A TS0-Terminology'!M36="Met","✓ Met",IF('L2-A TS0-Terminology'!M36="Not Met","✗ Not met",IF('L2-A TS0-Terminology'!M36="N/A","— N/A","○ Not tested")))</f>
        <v/>
      </c>
      <c r="E214" s="245" t="n"/>
      <c r="F214" s="245">
        <f>IF('L2-A TS0-Terminology'!P36&lt;&gt;"",'L2-A TS0-Terminology'!P36,"")</f>
        <v/>
      </c>
    </row>
    <row r="215" ht="69" customHeight="1" s="125">
      <c r="A215" s="238">
        <f>'L2-A TS0-Terminology'!A37</f>
        <v/>
      </c>
      <c r="B215" s="239">
        <f>'L2-A TS0-Terminology'!C37&amp;CHAR(10)&amp;"["&amp;'L2-A TS0-Terminology'!B37&amp;" · "&amp;'L2-A TS0-Terminology'!G37&amp;"]"</f>
        <v/>
      </c>
      <c r="C215" s="240">
        <f>IF('L2-A TS0-Terminology'!I37=0,"Info only",IF('L2-A TS0-Terminology'!H37="Yes","★ CRITICAL"&amp;CHAR(10),IF('L2-A TS0-Terminology'!H37="★ subs","★ critical sub-items"&amp;CHAR(10),""))&amp;'L2-A TS0-Terminology'!J37&amp;" · W"&amp;'L2-A TS0-Terminology'!I37)</f>
        <v/>
      </c>
      <c r="D215" s="226">
        <f>IF('L2-A TS0-Terminology'!I37=0,"— Not scored",IF('L2-A TS0-Terminology'!J37="Tier",IF('L2-A TS0-Terminology'!M37="Fully integrated","✓ FULLY INTEGRATED",IF('L2-A TS0-Terminology'!M37="Not Met","✗ NOT MET",IF('L2-A TS0-Terminology'!M37="Not Tested","○ NOT TESTED","◐ "&amp;UPPER('L2-A TS0-Terminology'!M37)))),IF('L2-A TS0-Terminology'!M37="Met","✓ MET",IF('L2-A TS0-Terminology'!M37="Not Met","✗ NOT MET",IF('L2-A TS0-Terminology'!M37="N/A","— N/A",IF('L2-A TS0-Terminology'!M37="Counted",IF(AND('L2-A TS0-Terminology'!N37&gt;=1,'L2-A TS0-Terminology'!S37=0),"✓ MET",IF('L2-A TS0-Terminology'!J37="All-or-nothing","✗ NOT MET",IF('L2-A TS0-Terminology'!S37=1,"✗ NOT MET (★)","◐ PARTIAL")))&amp;CHAR(10)&amp;"("&amp;'L2-A TS0-Terminology'!L37&amp;" of "&amp;'L2-A TS0-Terminology'!K37&amp;")","○ NOT TESTED"))))))</f>
        <v/>
      </c>
      <c r="E215" s="241">
        <f>IF('L2-A TS0-Terminology'!N37="","—",'L2-A TS0-Terminology'!N37)</f>
        <v/>
      </c>
      <c r="F215" s="223">
        <f>'L2-A TS0-Terminology'!O37&amp;IF('L2-A TS0-Terminology'!P37&lt;&gt;"",CHAR(10)&amp;"Notes: "&amp;'L2-A TS0-Terminology'!P37,"")</f>
        <v/>
      </c>
    </row>
    <row r="216" ht="112" customHeight="1" s="125">
      <c r="A216" s="242" t="n"/>
      <c r="B216" s="243">
        <f>"Developer's Guide: "&amp;IFERROR(LEFT('L2-A TS0-Terminology'!D37,FIND(CHAR(10)&amp;CHAR(10)&amp;"Purpose:",'L2-A TS0-Terminology'!D37)-1),'L2-A TS0-Terminology'!D37)</f>
        <v/>
      </c>
      <c r="C216" s="243">
        <f>"Validator's Guide: "&amp;'L2-A TS0-Terminology'!E37&amp;CHAR(10)&amp;"Evidence: "&amp;'L2-A TS0-Terminology'!F37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"&amp;TEXT('L2-B TS1-Submission'!D4,"0.0%")&amp;"  ·  Threshold: "&amp;TEXT('L2-B TS1-Submission'!D5,"0%")&amp;"  ·  Critical not met: "&amp;'L2-B TS1-Submission'!D6&amp;"  ·  Not tested: "&amp;'L2-B TS1-Submission'!F4&amp;" of "&amp;'L2-B TS1-Submission'!F7&amp;"  ·  Status: "&amp;'L2-B TS1-Submission'!F6</f>
        <v/>
      </c>
      <c r="B218" s="203" t="n"/>
      <c r="C218" s="203" t="n"/>
      <c r="D218" s="203" t="n"/>
      <c r="E218" s="203" t="n"/>
      <c r="F218" s="204" t="n"/>
    </row>
    <row r="219" ht="43" customHeight="1" s="125">
      <c r="A219" s="238">
        <f>'L2-B TS1-Submission'!A10</f>
        <v/>
      </c>
      <c r="B219" s="239">
        <f>'L2-B TS1-Submission'!C10&amp;CHAR(10)&amp;"["&amp;'L2-B TS1-Submission'!B10&amp;" · "&amp;'L2-B TS1-Submission'!G10&amp;"]"</f>
        <v/>
      </c>
      <c r="C219" s="240">
        <f>IF('L2-B TS1-Submission'!I10=0,"Info only",IF('L2-B TS1-Submission'!H10="Yes","★ CRITICAL"&amp;CHAR(10),IF('L2-B TS1-Submission'!H10="★ subs","★ critical sub-items"&amp;CHAR(10),""))&amp;'L2-B TS1-Submission'!J10&amp;" · W"&amp;'L2-B TS1-Submission'!I10)</f>
        <v/>
      </c>
      <c r="D219" s="226">
        <f>IF('L2-B TS1-Submission'!I10=0,"— Not scored",IF('L2-B TS1-Submission'!J10="Tier",IF('L2-B TS1-Submission'!M10="Fully integrated","✓ FULLY INTEGRATED",IF('L2-B TS1-Submission'!M10="Not Met","✗ NOT MET",IF('L2-B TS1-Submission'!M10="Not Tested","○ NOT TESTED","◐ "&amp;UPPER('L2-B TS1-Submission'!M10)))),IF('L2-B TS1-Submission'!M10="Met","✓ MET",IF('L2-B TS1-Submission'!M10="Not Met","✗ NOT MET",IF('L2-B TS1-Submission'!M10="N/A","— N/A",IF('L2-B TS1-Submission'!M10="Counted",IF(AND('L2-B TS1-Submission'!N10&gt;=1,'L2-B TS1-Submission'!S10=0),"✓ MET",IF('L2-B TS1-Submission'!J10="All-or-nothing","✗ NOT MET",IF('L2-B TS1-Submission'!S10=1,"✗ NOT MET (★)","◐ PARTIAL")))&amp;CHAR(10)&amp;"("&amp;'L2-B TS1-Submission'!L10&amp;" of "&amp;'L2-B TS1-Submission'!K10&amp;")","○ NOT TESTED"))))))</f>
        <v/>
      </c>
      <c r="E219" s="241">
        <f>IF('L2-B TS1-Submission'!N10="","—",'L2-B TS1-Submission'!N10)</f>
        <v/>
      </c>
      <c r="F219" s="223">
        <f>'L2-B TS1-Submission'!O10&amp;IF('L2-B TS1-Submission'!P10&lt;&gt;"",CHAR(10)&amp;"Notes: "&amp;'L2-B TS1-Submission'!P10,"")</f>
        <v/>
      </c>
    </row>
    <row r="220" ht="184" customHeight="1" s="125">
      <c r="A220" s="242" t="n"/>
      <c r="B220" s="243">
        <f>"Developer's Guide: "&amp;IFERROR(LEFT('L2-B TS1-Submission'!D10,FIND(CHAR(10)&amp;CHAR(10)&amp;"Purpose:",'L2-B TS1-Submission'!D10)-1),'L2-B TS1-Submission'!D10)</f>
        <v/>
      </c>
      <c r="C220" s="243">
        <f>"Validator's Guide: "&amp;'L2-B TS1-Submission'!E10&amp;CHAR(10)&amp;"Evidence: "&amp;'L2-B TS1-Submission'!F10</f>
        <v/>
      </c>
      <c r="D220" s="203" t="n"/>
      <c r="E220" s="203" t="n"/>
      <c r="F220" s="204" t="n"/>
    </row>
    <row r="221" ht="16" customHeight="1" s="125">
      <c r="A221" s="244">
        <f>'L2-B TS1-Submission'!A11</f>
        <v/>
      </c>
      <c r="B221" s="245">
        <f>"   ↳  "&amp;IF('L2-B TS1-Submission'!H11="Yes","★ ","")&amp;'L2-B TS1-Submission'!C11</f>
        <v/>
      </c>
      <c r="C221" s="204" t="n"/>
      <c r="D221" s="240">
        <f>IF('L2-B TS1-Submission'!M11="Met","✓ Met",IF('L2-B TS1-Submission'!M11="Not Met","✗ Not met",IF('L2-B TS1-Submission'!M11="N/A","— N/A","○ Not tested")))</f>
        <v/>
      </c>
      <c r="E221" s="245" t="n"/>
      <c r="F221" s="245">
        <f>IF('L2-B TS1-Submission'!P11&lt;&gt;"",'L2-B TS1-Submission'!P11,"")</f>
        <v/>
      </c>
    </row>
    <row r="222" ht="16" customHeight="1" s="125">
      <c r="A222" s="244">
        <f>'L2-B TS1-Submission'!A12</f>
        <v/>
      </c>
      <c r="B222" s="245">
        <f>"   ↳  "&amp;IF('L2-B TS1-Submission'!H12="Yes","★ ","")&amp;'L2-B TS1-Submission'!C12</f>
        <v/>
      </c>
      <c r="C222" s="204" t="n"/>
      <c r="D222" s="240">
        <f>IF('L2-B TS1-Submission'!M12="Met","✓ Met",IF('L2-B TS1-Submission'!M12="Not Met","✗ Not met",IF('L2-B TS1-Submission'!M12="N/A","— N/A","○ Not tested")))</f>
        <v/>
      </c>
      <c r="E222" s="245" t="n"/>
      <c r="F222" s="245">
        <f>IF('L2-B TS1-Submission'!P12&lt;&gt;"",'L2-B TS1-Submission'!P12,"")</f>
        <v/>
      </c>
    </row>
    <row r="223" ht="16" customHeight="1" s="125">
      <c r="A223" s="244">
        <f>'L2-B TS1-Submission'!A13</f>
        <v/>
      </c>
      <c r="B223" s="245">
        <f>"   ↳  "&amp;IF('L2-B TS1-Submission'!H13="Yes","★ ","")&amp;'L2-B TS1-Submission'!C13</f>
        <v/>
      </c>
      <c r="C223" s="204" t="n"/>
      <c r="D223" s="240">
        <f>IF('L2-B TS1-Submission'!M13="Met","✓ Met",IF('L2-B TS1-Submission'!M13="Not Met","✗ Not met",IF('L2-B TS1-Submission'!M13="N/A","— N/A","○ Not tested")))</f>
        <v/>
      </c>
      <c r="E223" s="245" t="n"/>
      <c r="F223" s="245">
        <f>IF('L2-B TS1-Submission'!P13&lt;&gt;"",'L2-B TS1-Submission'!P13,"")</f>
        <v/>
      </c>
    </row>
    <row r="224" ht="16" customHeight="1" s="125">
      <c r="A224" s="244">
        <f>'L2-B TS1-Submission'!A14</f>
        <v/>
      </c>
      <c r="B224" s="245">
        <f>"   ↳  "&amp;IF('L2-B TS1-Submission'!H14="Yes","★ ","")&amp;'L2-B TS1-Submission'!C14</f>
        <v/>
      </c>
      <c r="C224" s="204" t="n"/>
      <c r="D224" s="240">
        <f>IF('L2-B TS1-Submission'!M14="Met","✓ Met",IF('L2-B TS1-Submission'!M14="Not Met","✗ Not met",IF('L2-B TS1-Submission'!M14="N/A","— N/A","○ Not tested")))</f>
        <v/>
      </c>
      <c r="E224" s="245" t="n"/>
      <c r="F224" s="245">
        <f>IF('L2-B TS1-Submission'!P14&lt;&gt;"",'L2-B TS1-Submission'!P14,"")</f>
        <v/>
      </c>
    </row>
    <row r="225" ht="16" customHeight="1" s="125">
      <c r="A225" s="244">
        <f>'L2-B TS1-Submission'!A15</f>
        <v/>
      </c>
      <c r="B225" s="245">
        <f>"   ↳  "&amp;IF('L2-B TS1-Submission'!H15="Yes","★ ","")&amp;'L2-B TS1-Submission'!C15</f>
        <v/>
      </c>
      <c r="C225" s="204" t="n"/>
      <c r="D225" s="240">
        <f>IF('L2-B TS1-Submission'!M15="Met","✓ Met",IF('L2-B TS1-Submission'!M15="Not Met","✗ Not met",IF('L2-B TS1-Submission'!M15="N/A","— N/A","○ Not tested")))</f>
        <v/>
      </c>
      <c r="E225" s="245" t="n"/>
      <c r="F225" s="245">
        <f>IF('L2-B TS1-Submission'!P15&lt;&gt;"",'L2-B TS1-Submission'!P15,"")</f>
        <v/>
      </c>
    </row>
    <row r="226" ht="43" customHeight="1" s="125">
      <c r="A226" s="238">
        <f>'L2-B TS1-Submission'!A16</f>
        <v/>
      </c>
      <c r="B226" s="239">
        <f>'L2-B TS1-Submission'!C16&amp;CHAR(10)&amp;"["&amp;'L2-B TS1-Submission'!B16&amp;" · "&amp;'L2-B TS1-Submission'!G16&amp;"]"</f>
        <v/>
      </c>
      <c r="C226" s="240">
        <f>IF('L2-B TS1-Submission'!I16=0,"Info only",IF('L2-B TS1-Submission'!H16="Yes","★ CRITICAL"&amp;CHAR(10),IF('L2-B TS1-Submission'!H16="★ subs","★ critical sub-items"&amp;CHAR(10),""))&amp;'L2-B TS1-Submission'!J16&amp;" · W"&amp;'L2-B TS1-Submission'!I16)</f>
        <v/>
      </c>
      <c r="D226" s="226">
        <f>IF('L2-B TS1-Submission'!I16=0,"— Not scored",IF('L2-B TS1-Submission'!J16="Tier",IF('L2-B TS1-Submission'!M16="Fully integrated","✓ FULLY INTEGRATED",IF('L2-B TS1-Submission'!M16="Not Met","✗ NOT MET",IF('L2-B TS1-Submission'!M16="Not Tested","○ NOT TESTED","◐ "&amp;UPPER('L2-B TS1-Submission'!M16)))),IF('L2-B TS1-Submission'!M16="Met","✓ MET",IF('L2-B TS1-Submission'!M16="Not Met","✗ NOT MET",IF('L2-B TS1-Submission'!M16="N/A","— N/A",IF('L2-B TS1-Submission'!M16="Counted",IF(AND('L2-B TS1-Submission'!N16&gt;=1,'L2-B TS1-Submission'!S16=0),"✓ MET",IF('L2-B TS1-Submission'!J16="All-or-nothing","✗ NOT MET",IF('L2-B TS1-Submission'!S16=1,"✗ NOT MET (★)","◐ PARTIAL")))&amp;CHAR(10)&amp;"("&amp;'L2-B TS1-Submission'!L16&amp;" of "&amp;'L2-B TS1-Submission'!K16&amp;")","○ NOT TESTED"))))))</f>
        <v/>
      </c>
      <c r="E226" s="241">
        <f>IF('L2-B TS1-Submission'!N16="","—",'L2-B TS1-Submission'!N16)</f>
        <v/>
      </c>
      <c r="F226" s="223">
        <f>'L2-B TS1-Submission'!O16&amp;IF('L2-B TS1-Submission'!P16&lt;&gt;"",CHAR(10)&amp;"Notes: "&amp;'L2-B TS1-Submission'!P16,"")</f>
        <v/>
      </c>
    </row>
    <row r="227" ht="184" customHeight="1" s="125">
      <c r="A227" s="242" t="n"/>
      <c r="B227" s="243">
        <f>"Developer's Guide: "&amp;IFERROR(LEFT('L2-B TS1-Submission'!D16,FIND(CHAR(10)&amp;CHAR(10)&amp;"Purpose:",'L2-B TS1-Submission'!D16)-1),'L2-B TS1-Submission'!D16)</f>
        <v/>
      </c>
      <c r="C227" s="243">
        <f>"Validator's Guide: "&amp;'L2-B TS1-Submission'!E16&amp;CHAR(10)&amp;"Evidence: "&amp;'L2-B TS1-Submission'!F16</f>
        <v/>
      </c>
      <c r="D227" s="203" t="n"/>
      <c r="E227" s="203" t="n"/>
      <c r="F227" s="204" t="n"/>
    </row>
    <row r="228" ht="16" customHeight="1" s="125">
      <c r="A228" s="244">
        <f>'L2-B TS1-Submission'!A17</f>
        <v/>
      </c>
      <c r="B228" s="245">
        <f>"   ↳  "&amp;IF('L2-B TS1-Submission'!H17="Yes","★ ","")&amp;'L2-B TS1-Submission'!C17</f>
        <v/>
      </c>
      <c r="C228" s="204" t="n"/>
      <c r="D228" s="240">
        <f>IF('L2-B TS1-Submission'!M17="Met","✓ Met",IF('L2-B TS1-Submission'!M17="Not Met","✗ Not met",IF('L2-B TS1-Submission'!M17="N/A","— N/A","○ Not tested")))</f>
        <v/>
      </c>
      <c r="E228" s="245" t="n"/>
      <c r="F228" s="245">
        <f>IF('L2-B TS1-Submission'!P17&lt;&gt;"",'L2-B TS1-Submission'!P17,"")</f>
        <v/>
      </c>
    </row>
    <row r="229" ht="16" customHeight="1" s="125">
      <c r="A229" s="244">
        <f>'L2-B TS1-Submission'!A18</f>
        <v/>
      </c>
      <c r="B229" s="245">
        <f>"   ↳  "&amp;IF('L2-B TS1-Submission'!H18="Yes","★ ","")&amp;'L2-B TS1-Submission'!C18</f>
        <v/>
      </c>
      <c r="C229" s="204" t="n"/>
      <c r="D229" s="240">
        <f>IF('L2-B TS1-Submission'!M18="Met","✓ Met",IF('L2-B TS1-Submission'!M18="Not Met","✗ Not met",IF('L2-B TS1-Submission'!M18="N/A","— N/A","○ Not tested")))</f>
        <v/>
      </c>
      <c r="E229" s="245" t="n"/>
      <c r="F229" s="245">
        <f>IF('L2-B TS1-Submission'!P18&lt;&gt;"",'L2-B TS1-Submission'!P18,"")</f>
        <v/>
      </c>
    </row>
    <row r="230" ht="16" customHeight="1" s="125">
      <c r="A230" s="244">
        <f>'L2-B TS1-Submission'!A19</f>
        <v/>
      </c>
      <c r="B230" s="245">
        <f>"   ↳  "&amp;IF('L2-B TS1-Submission'!H19="Yes","★ ","")&amp;'L2-B TS1-Submission'!C19</f>
        <v/>
      </c>
      <c r="C230" s="204" t="n"/>
      <c r="D230" s="240">
        <f>IF('L2-B TS1-Submission'!M19="Met","✓ Met",IF('L2-B TS1-Submission'!M19="Not Met","✗ Not met",IF('L2-B TS1-Submission'!M19="N/A","— N/A","○ Not tested")))</f>
        <v/>
      </c>
      <c r="E230" s="245" t="n"/>
      <c r="F230" s="245">
        <f>IF('L2-B TS1-Submission'!P19&lt;&gt;"",'L2-B TS1-Submission'!P19,"")</f>
        <v/>
      </c>
    </row>
    <row r="231" ht="56" customHeight="1" s="125">
      <c r="A231" s="238">
        <f>'L2-B TS1-Submission'!A20</f>
        <v/>
      </c>
      <c r="B231" s="239">
        <f>'L2-B TS1-Submission'!C20&amp;CHAR(10)&amp;"["&amp;'L2-B TS1-Submission'!B20&amp;" · "&amp;'L2-B TS1-Submission'!G20&amp;"]"</f>
        <v/>
      </c>
      <c r="C231" s="240">
        <f>IF('L2-B TS1-Submission'!I20=0,"Info only",IF('L2-B TS1-Submission'!H20="Yes","★ CRITICAL"&amp;CHAR(10),IF('L2-B TS1-Submission'!H20="★ subs","★ critical sub-items"&amp;CHAR(10),""))&amp;'L2-B TS1-Submission'!J20&amp;" · W"&amp;'L2-B TS1-Submission'!I20)</f>
        <v/>
      </c>
      <c r="D231" s="226">
        <f>IF('L2-B TS1-Submission'!I20=0,"— Not scored",IF('L2-B TS1-Submission'!J20="Tier",IF('L2-B TS1-Submission'!M20="Fully integrated","✓ FULLY INTEGRATED",IF('L2-B TS1-Submission'!M20="Not Met","✗ NOT MET",IF('L2-B TS1-Submission'!M20="Not Tested","○ NOT TESTED","◐ "&amp;UPPER('L2-B TS1-Submission'!M20)))),IF('L2-B TS1-Submission'!M20="Met","✓ MET",IF('L2-B TS1-Submission'!M20="Not Met","✗ NOT MET",IF('L2-B TS1-Submission'!M20="N/A","— N/A",IF('L2-B TS1-Submission'!M20="Counted",IF(AND('L2-B TS1-Submission'!N20&gt;=1,'L2-B TS1-Submission'!S20=0),"✓ MET",IF('L2-B TS1-Submission'!J20="All-or-nothing","✗ NOT MET",IF('L2-B TS1-Submission'!S20=1,"✗ NOT MET (★)","◐ PARTIAL")))&amp;CHAR(10)&amp;"("&amp;'L2-B TS1-Submission'!L20&amp;" of "&amp;'L2-B TS1-Submission'!K20&amp;")","○ NOT TESTED"))))))</f>
        <v/>
      </c>
      <c r="E231" s="241">
        <f>IF('L2-B TS1-Submission'!N20="","—",'L2-B TS1-Submission'!N20)</f>
        <v/>
      </c>
      <c r="F231" s="223">
        <f>'L2-B TS1-Submission'!O20&amp;IF('L2-B TS1-Submission'!P20&lt;&gt;"",CHAR(10)&amp;"Notes: "&amp;'L2-B TS1-Submission'!P20,"")</f>
        <v/>
      </c>
    </row>
    <row r="232" ht="208" customHeight="1" s="125">
      <c r="A232" s="242" t="n"/>
      <c r="B232" s="243">
        <f>"Developer's Guide: "&amp;IFERROR(LEFT('L2-B TS1-Submission'!D20,FIND(CHAR(10)&amp;CHAR(10)&amp;"Purpose:",'L2-B TS1-Submission'!D20)-1),'L2-B TS1-Submission'!D20)</f>
        <v/>
      </c>
      <c r="C232" s="243">
        <f>"Validator's Guide: "&amp;'L2-B TS1-Submission'!E20&amp;CHAR(10)&amp;"Evidence: "&amp;'L2-B TS1-Submission'!F20</f>
        <v/>
      </c>
      <c r="D232" s="203" t="n"/>
      <c r="E232" s="203" t="n"/>
      <c r="F232" s="204" t="n"/>
    </row>
    <row r="233" ht="16" customHeight="1" s="125">
      <c r="A233" s="244">
        <f>'L2-B TS1-Submission'!A21</f>
        <v/>
      </c>
      <c r="B233" s="245">
        <f>"   ↳  "&amp;IF('L2-B TS1-Submission'!H21="Yes","★ ","")&amp;'L2-B TS1-Submission'!C21</f>
        <v/>
      </c>
      <c r="C233" s="204" t="n"/>
      <c r="D233" s="240">
        <f>IF('L2-B TS1-Submission'!M21="Met","✓ Met",IF('L2-B TS1-Submission'!M21="Not Met","✗ Not met",IF('L2-B TS1-Submission'!M21="N/A","— N/A","○ Not tested")))</f>
        <v/>
      </c>
      <c r="E233" s="245" t="n"/>
      <c r="F233" s="245">
        <f>IF('L2-B TS1-Submission'!P21&lt;&gt;"",'L2-B TS1-Submission'!P21,"")</f>
        <v/>
      </c>
    </row>
    <row r="234" ht="16" customHeight="1" s="125">
      <c r="A234" s="244">
        <f>'L2-B TS1-Submission'!A22</f>
        <v/>
      </c>
      <c r="B234" s="245">
        <f>"   ↳  "&amp;IF('L2-B TS1-Submission'!H22="Yes","★ ","")&amp;'L2-B TS1-Submission'!C22</f>
        <v/>
      </c>
      <c r="C234" s="204" t="n"/>
      <c r="D234" s="240">
        <f>IF('L2-B TS1-Submission'!M22="Met","✓ Met",IF('L2-B TS1-Submission'!M22="Not Met","✗ Not met",IF('L2-B TS1-Submission'!M22="N/A","— N/A","○ Not tested")))</f>
        <v/>
      </c>
      <c r="E234" s="245" t="n"/>
      <c r="F234" s="245">
        <f>IF('L2-B TS1-Submission'!P22&lt;&gt;"",'L2-B TS1-Submission'!P22,"")</f>
        <v/>
      </c>
    </row>
    <row r="235" ht="42" customHeight="1" s="125">
      <c r="A235" s="244">
        <f>'L2-B TS1-Submission'!A23</f>
        <v/>
      </c>
      <c r="B235" s="245">
        <f>"   ↳  "&amp;IF('L2-B TS1-Submission'!H23="Yes","★ ","")&amp;'L2-B TS1-Submission'!C23</f>
        <v/>
      </c>
      <c r="C235" s="204" t="n"/>
      <c r="D235" s="240">
        <f>IF('L2-B TS1-Submission'!M23="Met","✓ Met",IF('L2-B TS1-Submission'!M23="Not Met","✗ Not met",IF('L2-B TS1-Submission'!M23="N/A","— N/A","○ Not tested")))</f>
        <v/>
      </c>
      <c r="E235" s="245" t="n"/>
      <c r="F235" s="245">
        <f>IF('L2-B TS1-Submission'!P23&lt;&gt;"",'L2-B TS1-Submission'!P23,"")</f>
        <v/>
      </c>
    </row>
    <row r="236" ht="29" customHeight="1" s="125">
      <c r="A236" s="244">
        <f>'L2-B TS1-Submission'!A24</f>
        <v/>
      </c>
      <c r="B236" s="245">
        <f>"   ↳  "&amp;IF('L2-B TS1-Submission'!H24="Yes","★ ","")&amp;'L2-B TS1-Submission'!C24</f>
        <v/>
      </c>
      <c r="C236" s="204" t="n"/>
      <c r="D236" s="240">
        <f>IF('L2-B TS1-Submission'!M24="Met","✓ Met",IF('L2-B TS1-Submission'!M24="Not Met","✗ Not met",IF('L2-B TS1-Submission'!M24="N/A","— N/A","○ Not tested")))</f>
        <v/>
      </c>
      <c r="E236" s="245" t="n"/>
      <c r="F236" s="245">
        <f>IF('L2-B TS1-Submission'!P24&lt;&gt;"",'L2-B TS1-Submission'!P24,"")</f>
        <v/>
      </c>
    </row>
    <row r="237" ht="43" customHeight="1" s="125">
      <c r="A237" s="238">
        <f>'L2-B TS1-Submission'!A25</f>
        <v/>
      </c>
      <c r="B237" s="239">
        <f>'L2-B TS1-Submission'!C25&amp;CHAR(10)&amp;"["&amp;'L2-B TS1-Submission'!B25&amp;" · "&amp;'L2-B TS1-Submission'!G25&amp;"]"</f>
        <v/>
      </c>
      <c r="C237" s="240">
        <f>IF('L2-B TS1-Submission'!I25=0,"Info only",IF('L2-B TS1-Submission'!H25="Yes","★ CRITICAL"&amp;CHAR(10),IF('L2-B TS1-Submission'!H25="★ subs","★ critical sub-items"&amp;CHAR(10),""))&amp;'L2-B TS1-Submission'!J25&amp;" · W"&amp;'L2-B TS1-Submission'!I25)</f>
        <v/>
      </c>
      <c r="D237" s="226">
        <f>IF('L2-B TS1-Submission'!I25=0,"— Not scored",IF('L2-B TS1-Submission'!J25="Tier",IF('L2-B TS1-Submission'!M25="Fully integrated","✓ FULLY INTEGRATED",IF('L2-B TS1-Submission'!M25="Not Met","✗ NOT MET",IF('L2-B TS1-Submission'!M25="Not Tested","○ NOT TESTED","◐ "&amp;UPPER('L2-B TS1-Submission'!M25)))),IF('L2-B TS1-Submission'!M25="Met","✓ MET",IF('L2-B TS1-Submission'!M25="Not Met","✗ NOT MET",IF('L2-B TS1-Submission'!M25="N/A","— N/A",IF('L2-B TS1-Submission'!M25="Counted",IF(AND('L2-B TS1-Submission'!N25&gt;=1,'L2-B TS1-Submission'!S25=0),"✓ MET",IF('L2-B TS1-Submission'!J25="All-or-nothing","✗ NOT MET",IF('L2-B TS1-Submission'!S25=1,"✗ NOT MET (★)","◐ PARTIAL")))&amp;CHAR(10)&amp;"("&amp;'L2-B TS1-Submission'!L25&amp;" of "&amp;'L2-B TS1-Submission'!K25&amp;")","○ NOT TESTED"))))))</f>
        <v/>
      </c>
      <c r="E237" s="241">
        <f>IF('L2-B TS1-Submission'!N25="","—",'L2-B TS1-Submission'!N25)</f>
        <v/>
      </c>
      <c r="F237" s="223">
        <f>'L2-B TS1-Submission'!O25&amp;IF('L2-B TS1-Submission'!P25&lt;&gt;"",CHAR(10)&amp;"Notes: "&amp;'L2-B TS1-Submission'!P25,"")</f>
        <v/>
      </c>
    </row>
    <row r="238" ht="232" customHeight="1" s="125">
      <c r="A238" s="242" t="n"/>
      <c r="B238" s="243">
        <f>"Developer's Guide: "&amp;IFERROR(LEFT('L2-B TS1-Submission'!D25,FIND(CHAR(10)&amp;CHAR(10)&amp;"Purpose:",'L2-B TS1-Submission'!D25)-1),'L2-B TS1-Submission'!D25)</f>
        <v/>
      </c>
      <c r="C238" s="243">
        <f>"Validator's Guide: "&amp;'L2-B TS1-Submission'!E25&amp;CHAR(10)&amp;"Evidence: "&amp;'L2-B TS1-Submission'!F25</f>
        <v/>
      </c>
      <c r="D238" s="203" t="n"/>
      <c r="E238" s="203" t="n"/>
      <c r="F238" s="204" t="n"/>
    </row>
    <row r="239" ht="16" customHeight="1" s="125">
      <c r="A239" s="244">
        <f>'L2-B TS1-Submission'!A26</f>
        <v/>
      </c>
      <c r="B239" s="245">
        <f>"   ↳  "&amp;IF('L2-B TS1-Submission'!H26="Yes","★ ","")&amp;'L2-B TS1-Submission'!C26</f>
        <v/>
      </c>
      <c r="C239" s="204" t="n"/>
      <c r="D239" s="240">
        <f>IF('L2-B TS1-Submission'!M26="Met","✓ Met",IF('L2-B TS1-Submission'!M26="Not Met","✗ Not met",IF('L2-B TS1-Submission'!M26="N/A","— N/A","○ Not tested")))</f>
        <v/>
      </c>
      <c r="E239" s="245" t="n"/>
      <c r="F239" s="245">
        <f>IF('L2-B TS1-Submission'!P26&lt;&gt;"",'L2-B TS1-Submission'!P26,"")</f>
        <v/>
      </c>
    </row>
    <row r="240" ht="29" customHeight="1" s="125">
      <c r="A240" s="244">
        <f>'L2-B TS1-Submission'!A27</f>
        <v/>
      </c>
      <c r="B240" s="245">
        <f>"   ↳  "&amp;IF('L2-B TS1-Submission'!H27="Yes","★ ","")&amp;'L2-B TS1-Submission'!C27</f>
        <v/>
      </c>
      <c r="C240" s="204" t="n"/>
      <c r="D240" s="240">
        <f>IF('L2-B TS1-Submission'!M27="Met","✓ Met",IF('L2-B TS1-Submission'!M27="Not Met","✗ Not met",IF('L2-B TS1-Submission'!M27="N/A","— N/A","○ Not tested")))</f>
        <v/>
      </c>
      <c r="E240" s="245" t="n"/>
      <c r="F240" s="245">
        <f>IF('L2-B TS1-Submission'!P27&lt;&gt;"",'L2-B TS1-Submission'!P27,"")</f>
        <v/>
      </c>
    </row>
    <row r="241" ht="29" customHeight="1" s="125">
      <c r="A241" s="244">
        <f>'L2-B TS1-Submission'!A28</f>
        <v/>
      </c>
      <c r="B241" s="245">
        <f>"   ↳  "&amp;IF('L2-B TS1-Submission'!H28="Yes","★ ","")&amp;'L2-B TS1-Submission'!C28</f>
        <v/>
      </c>
      <c r="C241" s="204" t="n"/>
      <c r="D241" s="240">
        <f>IF('L2-B TS1-Submission'!M28="Met","✓ Met",IF('L2-B TS1-Submission'!M28="Not Met","✗ Not met",IF('L2-B TS1-Submission'!M28="N/A","— N/A","○ Not tested")))</f>
        <v/>
      </c>
      <c r="E241" s="245" t="n"/>
      <c r="F241" s="245">
        <f>IF('L2-B TS1-Submission'!P28&lt;&gt;"",'L2-B TS1-Submission'!P28,"")</f>
        <v/>
      </c>
    </row>
    <row r="242" ht="16" customHeight="1" s="125">
      <c r="A242" s="244">
        <f>'L2-B TS1-Submission'!A29</f>
        <v/>
      </c>
      <c r="B242" s="245">
        <f>"   ↳  "&amp;IF('L2-B TS1-Submission'!H29="Yes","★ ","")&amp;'L2-B TS1-Submission'!C29</f>
        <v/>
      </c>
      <c r="C242" s="204" t="n"/>
      <c r="D242" s="240">
        <f>IF('L2-B TS1-Submission'!M29="Met","✓ Met",IF('L2-B TS1-Submission'!M29="Not Met","✗ Not met",IF('L2-B TS1-Submission'!M29="N/A","— N/A","○ Not tested")))</f>
        <v/>
      </c>
      <c r="E242" s="245" t="n"/>
      <c r="F242" s="245">
        <f>IF('L2-B TS1-Submission'!P29&lt;&gt;"",'L2-B TS1-Submission'!P29,"")</f>
        <v/>
      </c>
    </row>
    <row r="243" ht="16" customHeight="1" s="125">
      <c r="A243" s="244">
        <f>'L2-B TS1-Submission'!A30</f>
        <v/>
      </c>
      <c r="B243" s="245">
        <f>"   ↳  "&amp;IF('L2-B TS1-Submission'!H30="Yes","★ ","")&amp;'L2-B TS1-Submission'!C30</f>
        <v/>
      </c>
      <c r="C243" s="204" t="n"/>
      <c r="D243" s="240">
        <f>IF('L2-B TS1-Submission'!M30="Met","✓ Met",IF('L2-B TS1-Submission'!M30="Not Met","✗ Not met",IF('L2-B TS1-Submission'!M30="N/A","— N/A","○ Not tested")))</f>
        <v/>
      </c>
      <c r="E243" s="245" t="n"/>
      <c r="F243" s="245">
        <f>IF('L2-B TS1-Submission'!P30&lt;&gt;"",'L2-B TS1-Submission'!P30,"")</f>
        <v/>
      </c>
    </row>
    <row r="244" ht="16" customHeight="1" s="125">
      <c r="A244" s="244">
        <f>'L2-B TS1-Submission'!A31</f>
        <v/>
      </c>
      <c r="B244" s="245">
        <f>"   ↳  "&amp;IF('L2-B TS1-Submission'!H31="Yes","★ ","")&amp;'L2-B TS1-Submission'!C31</f>
        <v/>
      </c>
      <c r="C244" s="204" t="n"/>
      <c r="D244" s="240">
        <f>IF('L2-B TS1-Submission'!M31="Met","✓ Met",IF('L2-B TS1-Submission'!M31="Not Met","✗ Not met",IF('L2-B TS1-Submission'!M31="N/A","— N/A","○ Not tested")))</f>
        <v/>
      </c>
      <c r="E244" s="245" t="n"/>
      <c r="F244" s="245">
        <f>IF('L2-B TS1-Submission'!P31&lt;&gt;"",'L2-B TS1-Submission'!P31,"")</f>
        <v/>
      </c>
    </row>
    <row r="245" ht="16" customHeight="1" s="125">
      <c r="A245" s="244">
        <f>'L2-B TS1-Submission'!A32</f>
        <v/>
      </c>
      <c r="B245" s="245">
        <f>"   ↳  "&amp;IF('L2-B TS1-Submission'!H32="Yes","★ ","")&amp;'L2-B TS1-Submission'!C32</f>
        <v/>
      </c>
      <c r="C245" s="204" t="n"/>
      <c r="D245" s="240">
        <f>IF('L2-B TS1-Submission'!M32="Met","✓ Met",IF('L2-B TS1-Submission'!M32="Not Met","✗ Not met",IF('L2-B TS1-Submission'!M32="N/A","— N/A","○ Not tested")))</f>
        <v/>
      </c>
      <c r="E245" s="245" t="n"/>
      <c r="F245" s="245">
        <f>IF('L2-B TS1-Submission'!P32&lt;&gt;"",'L2-B TS1-Submission'!P32,"")</f>
        <v/>
      </c>
    </row>
    <row r="246" ht="16" customHeight="1" s="125">
      <c r="A246" s="244">
        <f>'L2-B TS1-Submission'!A33</f>
        <v/>
      </c>
      <c r="B246" s="245">
        <f>"   ↳  "&amp;IF('L2-B TS1-Submission'!H33="Yes","★ ","")&amp;'L2-B TS1-Submission'!C33</f>
        <v/>
      </c>
      <c r="C246" s="204" t="n"/>
      <c r="D246" s="240">
        <f>IF('L2-B TS1-Submission'!M33="Met","✓ Met",IF('L2-B TS1-Submission'!M33="Not Met","✗ Not met",IF('L2-B TS1-Submission'!M33="N/A","— N/A","○ Not tested")))</f>
        <v/>
      </c>
      <c r="E246" s="245" t="n"/>
      <c r="F246" s="245">
        <f>IF('L2-B TS1-Submission'!P33&lt;&gt;"",'L2-B TS1-Submission'!P33,"")</f>
        <v/>
      </c>
    </row>
    <row r="247" ht="29" customHeight="1" s="125">
      <c r="A247" s="244">
        <f>'L2-B TS1-Submission'!A34</f>
        <v/>
      </c>
      <c r="B247" s="245">
        <f>"   ↳  "&amp;IF('L2-B TS1-Submission'!H34="Yes","★ ","")&amp;'L2-B TS1-Submission'!C34</f>
        <v/>
      </c>
      <c r="C247" s="204" t="n"/>
      <c r="D247" s="240">
        <f>IF('L2-B TS1-Submission'!M34="Met","✓ Met",IF('L2-B TS1-Submission'!M34="Not Met","✗ Not met",IF('L2-B TS1-Submission'!M34="N/A","— N/A","○ Not tested")))</f>
        <v/>
      </c>
      <c r="E247" s="245" t="n"/>
      <c r="F247" s="245">
        <f>IF('L2-B TS1-Submission'!P34&lt;&gt;"",'L2-B TS1-Submission'!P34,"")</f>
        <v/>
      </c>
    </row>
    <row r="248" ht="43" customHeight="1" s="125">
      <c r="A248" s="238">
        <f>'L2-B TS1-Submission'!A35</f>
        <v/>
      </c>
      <c r="B248" s="239">
        <f>'L2-B TS1-Submission'!C35&amp;CHAR(10)&amp;"["&amp;'L2-B TS1-Submission'!B35&amp;" · "&amp;'L2-B TS1-Submission'!G35&amp;"]"</f>
        <v/>
      </c>
      <c r="C248" s="240">
        <f>IF('L2-B TS1-Submission'!I35=0,"Info only",IF('L2-B TS1-Submission'!H35="Yes","★ CRITICAL"&amp;CHAR(10),IF('L2-B TS1-Submission'!H35="★ subs","★ critical sub-items"&amp;CHAR(10),""))&amp;'L2-B TS1-Submission'!J35&amp;" · W"&amp;'L2-B TS1-Submission'!I35)</f>
        <v/>
      </c>
      <c r="D248" s="226">
        <f>IF('L2-B TS1-Submission'!I35=0,"— Not scored",IF('L2-B TS1-Submission'!J35="Tier",IF('L2-B TS1-Submission'!M35="Fully integrated","✓ FULLY INTEGRATED",IF('L2-B TS1-Submission'!M35="Not Met","✗ NOT MET",IF('L2-B TS1-Submission'!M35="Not Tested","○ NOT TESTED","◐ "&amp;UPPER('L2-B TS1-Submission'!M35)))),IF('L2-B TS1-Submission'!M35="Met","✓ MET",IF('L2-B TS1-Submission'!M35="Not Met","✗ NOT MET",IF('L2-B TS1-Submission'!M35="N/A","— N/A",IF('L2-B TS1-Submission'!M35="Counted",IF(AND('L2-B TS1-Submission'!N35&gt;=1,'L2-B TS1-Submission'!S35=0),"✓ MET",IF('L2-B TS1-Submission'!J35="All-or-nothing","✗ NOT MET",IF('L2-B TS1-Submission'!S35=1,"✗ NOT MET (★)","◐ PARTIAL")))&amp;CHAR(10)&amp;"("&amp;'L2-B TS1-Submission'!L35&amp;" of "&amp;'L2-B TS1-Submission'!K35&amp;")","○ NOT TESTED"))))))</f>
        <v/>
      </c>
      <c r="E248" s="241">
        <f>IF('L2-B TS1-Submission'!N35="","—",'L2-B TS1-Submission'!N35)</f>
        <v/>
      </c>
      <c r="F248" s="223">
        <f>'L2-B TS1-Submission'!O35&amp;IF('L2-B TS1-Submission'!P35&lt;&gt;"",CHAR(10)&amp;"Notes: "&amp;'L2-B TS1-Submission'!P35,"")</f>
        <v/>
      </c>
    </row>
    <row r="249" ht="148" customHeight="1" s="125">
      <c r="A249" s="242" t="n"/>
      <c r="B249" s="243">
        <f>"Developer's Guide: "&amp;IFERROR(LEFT('L2-B TS1-Submission'!D35,FIND(CHAR(10)&amp;CHAR(10)&amp;"Purpose:",'L2-B TS1-Submission'!D35)-1),'L2-B TS1-Submission'!D35)</f>
        <v/>
      </c>
      <c r="C249" s="243">
        <f>"Validator's Guide: "&amp;'L2-B TS1-Submission'!E35&amp;CHAR(10)&amp;"Evidence: "&amp;'L2-B TS1-Submission'!F35</f>
        <v/>
      </c>
      <c r="D249" s="203" t="n"/>
      <c r="E249" s="203" t="n"/>
      <c r="F249" s="204" t="n"/>
    </row>
    <row r="250" ht="43" customHeight="1" s="125">
      <c r="A250" s="238">
        <f>'L2-B TS1-Submission'!A36</f>
        <v/>
      </c>
      <c r="B250" s="239">
        <f>'L2-B TS1-Submission'!C36&amp;CHAR(10)&amp;"["&amp;'L2-B TS1-Submission'!B36&amp;" · "&amp;'L2-B TS1-Submission'!G36&amp;"]"</f>
        <v/>
      </c>
      <c r="C250" s="240">
        <f>IF('L2-B TS1-Submission'!I36=0,"Info only",IF('L2-B TS1-Submission'!H36="Yes","★ CRITICAL"&amp;CHAR(10),IF('L2-B TS1-Submission'!H36="★ subs","★ critical sub-items"&amp;CHAR(10),""))&amp;'L2-B TS1-Submission'!J36&amp;" · W"&amp;'L2-B TS1-Submission'!I36)</f>
        <v/>
      </c>
      <c r="D250" s="226">
        <f>IF('L2-B TS1-Submission'!I36=0,"— Not scored",IF('L2-B TS1-Submission'!J36="Tier",IF('L2-B TS1-Submission'!M36="Fully integrated","✓ FULLY INTEGRATED",IF('L2-B TS1-Submission'!M36="Not Met","✗ NOT MET",IF('L2-B TS1-Submission'!M36="Not Tested","○ NOT TESTED","◐ "&amp;UPPER('L2-B TS1-Submission'!M36)))),IF('L2-B TS1-Submission'!M36="Met","✓ MET",IF('L2-B TS1-Submission'!M36="Not Met","✗ NOT MET",IF('L2-B TS1-Submission'!M36="N/A","— N/A",IF('L2-B TS1-Submission'!M36="Counted",IF(AND('L2-B TS1-Submission'!N36&gt;=1,'L2-B TS1-Submission'!S36=0),"✓ MET",IF('L2-B TS1-Submission'!J36="All-or-nothing","✗ NOT MET",IF('L2-B TS1-Submission'!S36=1,"✗ NOT MET (★)","◐ PARTIAL")))&amp;CHAR(10)&amp;"("&amp;'L2-B TS1-Submission'!L36&amp;" of "&amp;'L2-B TS1-Submission'!K36&amp;")","○ NOT TESTED"))))))</f>
        <v/>
      </c>
      <c r="E250" s="241">
        <f>IF('L2-B TS1-Submission'!N36="","—",'L2-B TS1-Submission'!N36)</f>
        <v/>
      </c>
      <c r="F250" s="223">
        <f>'L2-B TS1-Submission'!O36&amp;IF('L2-B TS1-Submission'!P36&lt;&gt;"",CHAR(10)&amp;"Notes: "&amp;'L2-B TS1-Submission'!P36,"")</f>
        <v/>
      </c>
    </row>
    <row r="251" ht="220" customHeight="1" s="125">
      <c r="A251" s="242" t="n"/>
      <c r="B251" s="243">
        <f>"Developer's Guide: "&amp;IFERROR(LEFT('L2-B TS1-Submission'!D36,FIND(CHAR(10)&amp;CHAR(10)&amp;"Purpose:",'L2-B TS1-Submission'!D36)-1),'L2-B TS1-Submission'!D36)</f>
        <v/>
      </c>
      <c r="C251" s="243">
        <f>"Validator's Guide: "&amp;'L2-B TS1-Submission'!E36&amp;CHAR(10)&amp;"Evidence: "&amp;'L2-B TS1-Submission'!F36</f>
        <v/>
      </c>
      <c r="D251" s="203" t="n"/>
      <c r="E251" s="203" t="n"/>
      <c r="F251" s="204" t="n"/>
    </row>
    <row r="252" ht="16" customHeight="1" s="125">
      <c r="A252" s="244">
        <f>'L2-B TS1-Submission'!A37</f>
        <v/>
      </c>
      <c r="B252" s="245">
        <f>"   ↳  "&amp;IF('L2-B TS1-Submission'!H37="Yes","★ ","")&amp;'L2-B TS1-Submission'!C37</f>
        <v/>
      </c>
      <c r="C252" s="204" t="n"/>
      <c r="D252" s="240">
        <f>IF('L2-B TS1-Submission'!M37="Met","✓ Met",IF('L2-B TS1-Submission'!M37="Not Met","✗ Not met",IF('L2-B TS1-Submission'!M37="N/A","— N/A","○ Not tested")))</f>
        <v/>
      </c>
      <c r="E252" s="245" t="n"/>
      <c r="F252" s="245">
        <f>IF('L2-B TS1-Submission'!P37&lt;&gt;"",'L2-B TS1-Submission'!P37,"")</f>
        <v/>
      </c>
    </row>
    <row r="253" ht="29" customHeight="1" s="125">
      <c r="A253" s="244">
        <f>'L2-B TS1-Submission'!A38</f>
        <v/>
      </c>
      <c r="B253" s="245">
        <f>"   ↳  "&amp;IF('L2-B TS1-Submission'!H38="Yes","★ ","")&amp;'L2-B TS1-Submission'!C38</f>
        <v/>
      </c>
      <c r="C253" s="204" t="n"/>
      <c r="D253" s="240">
        <f>IF('L2-B TS1-Submission'!M38="Met","✓ Met",IF('L2-B TS1-Submission'!M38="Not Met","✗ Not met",IF('L2-B TS1-Submission'!M38="N/A","— N/A","○ Not tested")))</f>
        <v/>
      </c>
      <c r="E253" s="245" t="n"/>
      <c r="F253" s="245">
        <f>IF('L2-B TS1-Submission'!P38&lt;&gt;"",'L2-B TS1-Submission'!P38,"")</f>
        <v/>
      </c>
    </row>
    <row r="254" ht="29" customHeight="1" s="125">
      <c r="A254" s="244">
        <f>'L2-B TS1-Submission'!A39</f>
        <v/>
      </c>
      <c r="B254" s="245">
        <f>"   ↳  "&amp;IF('L2-B TS1-Submission'!H39="Yes","★ ","")&amp;'L2-B TS1-Submission'!C39</f>
        <v/>
      </c>
      <c r="C254" s="204" t="n"/>
      <c r="D254" s="240">
        <f>IF('L2-B TS1-Submission'!M39="Met","✓ Met",IF('L2-B TS1-Submission'!M39="Not Met","✗ Not met",IF('L2-B TS1-Submission'!M39="N/A","— N/A","○ Not tested")))</f>
        <v/>
      </c>
      <c r="E254" s="245" t="n"/>
      <c r="F254" s="245">
        <f>IF('L2-B TS1-Submission'!P39&lt;&gt;"",'L2-B TS1-Submission'!P39,"")</f>
        <v/>
      </c>
    </row>
    <row r="255" ht="16" customHeight="1" s="125">
      <c r="A255" s="244">
        <f>'L2-B TS1-Submission'!A40</f>
        <v/>
      </c>
      <c r="B255" s="245">
        <f>"   ↳  "&amp;IF('L2-B TS1-Submission'!H40="Yes","★ ","")&amp;'L2-B TS1-Submission'!C40</f>
        <v/>
      </c>
      <c r="C255" s="204" t="n"/>
      <c r="D255" s="240">
        <f>IF('L2-B TS1-Submission'!M40="Met","✓ Met",IF('L2-B TS1-Submission'!M40="Not Met","✗ Not met",IF('L2-B TS1-Submission'!M40="N/A","— N/A","○ Not tested")))</f>
        <v/>
      </c>
      <c r="E255" s="245" t="n"/>
      <c r="F255" s="245">
        <f>IF('L2-B TS1-Submission'!P40&lt;&gt;"",'L2-B TS1-Submission'!P40,"")</f>
        <v/>
      </c>
    </row>
    <row r="256" ht="29" customHeight="1" s="125">
      <c r="A256" s="244">
        <f>'L2-B TS1-Submission'!A41</f>
        <v/>
      </c>
      <c r="B256" s="245">
        <f>"   ↳  "&amp;IF('L2-B TS1-Submission'!H41="Yes","★ ","")&amp;'L2-B TS1-Submission'!C41</f>
        <v/>
      </c>
      <c r="C256" s="204" t="n"/>
      <c r="D256" s="240">
        <f>IF('L2-B TS1-Submission'!M41="Met","✓ Met",IF('L2-B TS1-Submission'!M41="Not Met","✗ Not met",IF('L2-B TS1-Submission'!M41="N/A","— N/A","○ Not tested")))</f>
        <v/>
      </c>
      <c r="E256" s="245" t="n"/>
      <c r="F256" s="245">
        <f>IF('L2-B TS1-Submission'!P41&lt;&gt;"",'L2-B TS1-Submission'!P41,"")</f>
        <v/>
      </c>
    </row>
    <row r="257" ht="16" customHeight="1" s="125">
      <c r="A257" s="244">
        <f>'L2-B TS1-Submission'!A42</f>
        <v/>
      </c>
      <c r="B257" s="245">
        <f>"   ↳  "&amp;IF('L2-B TS1-Submission'!H42="Yes","★ ","")&amp;'L2-B TS1-Submission'!C42</f>
        <v/>
      </c>
      <c r="C257" s="204" t="n"/>
      <c r="D257" s="240">
        <f>IF('L2-B TS1-Submission'!M42="Met","✓ Met",IF('L2-B TS1-Submission'!M42="Not Met","✗ Not met",IF('L2-B TS1-Submission'!M42="N/A","— N/A","○ Not tested")))</f>
        <v/>
      </c>
      <c r="E257" s="245" t="n"/>
      <c r="F257" s="245">
        <f>IF('L2-B TS1-Submission'!P42&lt;&gt;"",'L2-B TS1-Submission'!P42,"")</f>
        <v/>
      </c>
    </row>
    <row r="258" ht="43" customHeight="1" s="125">
      <c r="A258" s="238">
        <f>'L2-B TS1-Submission'!A43</f>
        <v/>
      </c>
      <c r="B258" s="239">
        <f>'L2-B TS1-Submission'!C43&amp;CHAR(10)&amp;"["&amp;'L2-B TS1-Submission'!B43&amp;" · "&amp;'L2-B TS1-Submission'!G43&amp;"]"</f>
        <v/>
      </c>
      <c r="C258" s="240">
        <f>IF('L2-B TS1-Submission'!I43=0,"Info only",IF('L2-B TS1-Submission'!H43="Yes","★ CRITICAL"&amp;CHAR(10),IF('L2-B TS1-Submission'!H43="★ subs","★ critical sub-items"&amp;CHAR(10),""))&amp;'L2-B TS1-Submission'!J43&amp;" · W"&amp;'L2-B TS1-Submission'!I43)</f>
        <v/>
      </c>
      <c r="D258" s="226">
        <f>IF('L2-B TS1-Submission'!I43=0,"— Not scored",IF('L2-B TS1-Submission'!J43="Tier",IF('L2-B TS1-Submission'!M43="Fully integrated","✓ FULLY INTEGRATED",IF('L2-B TS1-Submission'!M43="Not Met","✗ NOT MET",IF('L2-B TS1-Submission'!M43="Not Tested","○ NOT TESTED","◐ "&amp;UPPER('L2-B TS1-Submission'!M43)))),IF('L2-B TS1-Submission'!M43="Met","✓ MET",IF('L2-B TS1-Submission'!M43="Not Met","✗ NOT MET",IF('L2-B TS1-Submission'!M43="N/A","— N/A",IF('L2-B TS1-Submission'!M43="Counted",IF(AND('L2-B TS1-Submission'!N43&gt;=1,'L2-B TS1-Submission'!S43=0),"✓ MET",IF('L2-B TS1-Submission'!J43="All-or-nothing","✗ NOT MET",IF('L2-B TS1-Submission'!S43=1,"✗ NOT MET (★)","◐ PARTIAL")))&amp;CHAR(10)&amp;"("&amp;'L2-B TS1-Submission'!L43&amp;" of "&amp;'L2-B TS1-Submission'!K43&amp;")","○ NOT TESTED"))))))</f>
        <v/>
      </c>
      <c r="E258" s="241">
        <f>IF('L2-B TS1-Submission'!N43="","—",'L2-B TS1-Submission'!N43)</f>
        <v/>
      </c>
      <c r="F258" s="223">
        <f>'L2-B TS1-Submission'!O43&amp;IF('L2-B TS1-Submission'!P43&lt;&gt;"",CHAR(10)&amp;"Notes: "&amp;'L2-B TS1-Submission'!P43,"")</f>
        <v/>
      </c>
    </row>
    <row r="259" ht="208" customHeight="1" s="125">
      <c r="A259" s="242" t="n"/>
      <c r="B259" s="243">
        <f>"Developer's Guide: "&amp;IFERROR(LEFT('L2-B TS1-Submission'!D43,FIND(CHAR(10)&amp;CHAR(10)&amp;"Purpose:",'L2-B TS1-Submission'!D43)-1),'L2-B TS1-Submission'!D43)</f>
        <v/>
      </c>
      <c r="C259" s="243">
        <f>"Validator's Guide: "&amp;'L2-B TS1-Submission'!E43&amp;CHAR(10)&amp;"Evidence: "&amp;'L2-B TS1-Submission'!F43</f>
        <v/>
      </c>
      <c r="D259" s="203" t="n"/>
      <c r="E259" s="203" t="n"/>
      <c r="F259" s="204" t="n"/>
    </row>
    <row r="260" ht="16" customHeight="1" s="125">
      <c r="A260" s="244">
        <f>'L2-B TS1-Submission'!A44</f>
        <v/>
      </c>
      <c r="B260" s="245">
        <f>"   ↳  "&amp;IF('L2-B TS1-Submission'!H44="Yes","★ ","")&amp;'L2-B TS1-Submission'!C44</f>
        <v/>
      </c>
      <c r="C260" s="204" t="n"/>
      <c r="D260" s="240">
        <f>IF('L2-B TS1-Submission'!M44="Met","✓ Met",IF('L2-B TS1-Submission'!M44="Not Met","✗ Not met",IF('L2-B TS1-Submission'!M44="N/A","— N/A","○ Not tested")))</f>
        <v/>
      </c>
      <c r="E260" s="245" t="n"/>
      <c r="F260" s="245">
        <f>IF('L2-B TS1-Submission'!P44&lt;&gt;"",'L2-B TS1-Submission'!P44,"")</f>
        <v/>
      </c>
    </row>
    <row r="261" ht="16" customHeight="1" s="125">
      <c r="A261" s="244">
        <f>'L2-B TS1-Submission'!A45</f>
        <v/>
      </c>
      <c r="B261" s="245">
        <f>"   ↳  "&amp;IF('L2-B TS1-Submission'!H45="Yes","★ ","")&amp;'L2-B TS1-Submission'!C45</f>
        <v/>
      </c>
      <c r="C261" s="204" t="n"/>
      <c r="D261" s="240">
        <f>IF('L2-B TS1-Submission'!M45="Met","✓ Met",IF('L2-B TS1-Submission'!M45="Not Met","✗ Not met",IF('L2-B TS1-Submission'!M45="N/A","— N/A","○ Not tested")))</f>
        <v/>
      </c>
      <c r="E261" s="245" t="n"/>
      <c r="F261" s="245">
        <f>IF('L2-B TS1-Submission'!P45&lt;&gt;"",'L2-B TS1-Submission'!P45,"")</f>
        <v/>
      </c>
    </row>
    <row r="262" ht="16" customHeight="1" s="125">
      <c r="A262" s="244">
        <f>'L2-B TS1-Submission'!A46</f>
        <v/>
      </c>
      <c r="B262" s="245">
        <f>"   ↳  "&amp;IF('L2-B TS1-Submission'!H46="Yes","★ ","")&amp;'L2-B TS1-Submission'!C46</f>
        <v/>
      </c>
      <c r="C262" s="204" t="n"/>
      <c r="D262" s="240">
        <f>IF('L2-B TS1-Submission'!M46="Met","✓ Met",IF('L2-B TS1-Submission'!M46="Not Met","✗ Not met",IF('L2-B TS1-Submission'!M46="N/A","— N/A","○ Not tested")))</f>
        <v/>
      </c>
      <c r="E262" s="245" t="n"/>
      <c r="F262" s="245">
        <f>IF('L2-B TS1-Submission'!P46&lt;&gt;"",'L2-B TS1-Submission'!P46,"")</f>
        <v/>
      </c>
    </row>
    <row r="263" ht="43" customHeight="1" s="125">
      <c r="A263" s="238">
        <f>'L2-B TS1-Submission'!A47</f>
        <v/>
      </c>
      <c r="B263" s="239">
        <f>'L2-B TS1-Submission'!C47&amp;CHAR(10)&amp;"["&amp;'L2-B TS1-Submission'!B47&amp;" · "&amp;'L2-B TS1-Submission'!G47&amp;"]"</f>
        <v/>
      </c>
      <c r="C263" s="240">
        <f>IF('L2-B TS1-Submission'!I47=0,"Info only",IF('L2-B TS1-Submission'!H47="Yes","★ CRITICAL"&amp;CHAR(10),IF('L2-B TS1-Submission'!H47="★ subs","★ critical sub-items"&amp;CHAR(10),""))&amp;'L2-B TS1-Submission'!J47&amp;" · W"&amp;'L2-B TS1-Submission'!I47)</f>
        <v/>
      </c>
      <c r="D263" s="226">
        <f>IF('L2-B TS1-Submission'!I47=0,"— Not scored",IF('L2-B TS1-Submission'!J47="Tier",IF('L2-B TS1-Submission'!M47="Fully integrated","✓ FULLY INTEGRATED",IF('L2-B TS1-Submission'!M47="Not Met","✗ NOT MET",IF('L2-B TS1-Submission'!M47="Not Tested","○ NOT TESTED","◐ "&amp;UPPER('L2-B TS1-Submission'!M47)))),IF('L2-B TS1-Submission'!M47="Met","✓ MET",IF('L2-B TS1-Submission'!M47="Not Met","✗ NOT MET",IF('L2-B TS1-Submission'!M47="N/A","— N/A",IF('L2-B TS1-Submission'!M47="Counted",IF(AND('L2-B TS1-Submission'!N47&gt;=1,'L2-B TS1-Submission'!S47=0),"✓ MET",IF('L2-B TS1-Submission'!J47="All-or-nothing","✗ NOT MET",IF('L2-B TS1-Submission'!S47=1,"✗ NOT MET (★)","◐ PARTIAL")))&amp;CHAR(10)&amp;"("&amp;'L2-B TS1-Submission'!L47&amp;" of "&amp;'L2-B TS1-Submission'!K47&amp;")","○ NOT TESTED"))))))</f>
        <v/>
      </c>
      <c r="E263" s="241">
        <f>IF('L2-B TS1-Submission'!N47="","—",'L2-B TS1-Submission'!N47)</f>
        <v/>
      </c>
      <c r="F263" s="223">
        <f>'L2-B TS1-Submission'!O47&amp;IF('L2-B TS1-Submission'!P47&lt;&gt;"",CHAR(10)&amp;"Notes: "&amp;'L2-B TS1-Submission'!P47,"")</f>
        <v/>
      </c>
    </row>
    <row r="264" ht="196" customHeight="1" s="125">
      <c r="A264" s="242" t="n"/>
      <c r="B264" s="243">
        <f>"Developer's Guide: "&amp;IFERROR(LEFT('L2-B TS1-Submission'!D47,FIND(CHAR(10)&amp;CHAR(10)&amp;"Purpose:",'L2-B TS1-Submission'!D47)-1),'L2-B TS1-Submission'!D47)</f>
        <v/>
      </c>
      <c r="C264" s="243">
        <f>"Validator's Guide: "&amp;'L2-B TS1-Submission'!E47&amp;CHAR(10)&amp;"Evidence: "&amp;'L2-B TS1-Submission'!F47</f>
        <v/>
      </c>
      <c r="D264" s="203" t="n"/>
      <c r="E264" s="203" t="n"/>
      <c r="F264" s="204" t="n"/>
    </row>
    <row r="265" ht="29" customHeight="1" s="125">
      <c r="A265" s="244">
        <f>'L2-B TS1-Submission'!A48</f>
        <v/>
      </c>
      <c r="B265" s="245">
        <f>"   ↳  "&amp;IF('L2-B TS1-Submission'!H48="Yes","★ ","")&amp;'L2-B TS1-Submission'!C48</f>
        <v/>
      </c>
      <c r="C265" s="204" t="n"/>
      <c r="D265" s="240">
        <f>IF('L2-B TS1-Submission'!M48="Met","✓ Met",IF('L2-B TS1-Submission'!M48="Not Met","✗ Not met",IF('L2-B TS1-Submission'!M48="N/A","— N/A","○ Not tested")))</f>
        <v/>
      </c>
      <c r="E265" s="245" t="n"/>
      <c r="F265" s="245">
        <f>IF('L2-B TS1-Submission'!P48&lt;&gt;"",'L2-B TS1-Submission'!P48,"")</f>
        <v/>
      </c>
    </row>
    <row r="266" ht="16" customHeight="1" s="125">
      <c r="A266" s="244">
        <f>'L2-B TS1-Submission'!A49</f>
        <v/>
      </c>
      <c r="B266" s="245">
        <f>"   ↳  "&amp;IF('L2-B TS1-Submission'!H49="Yes","★ ","")&amp;'L2-B TS1-Submission'!C49</f>
        <v/>
      </c>
      <c r="C266" s="204" t="n"/>
      <c r="D266" s="240">
        <f>IF('L2-B TS1-Submission'!M49="Met","✓ Met",IF('L2-B TS1-Submission'!M49="Not Met","✗ Not met",IF('L2-B TS1-Submission'!M49="N/A","— N/A","○ Not tested")))</f>
        <v/>
      </c>
      <c r="E266" s="245" t="n"/>
      <c r="F266" s="245">
        <f>IF('L2-B TS1-Submission'!P49&lt;&gt;"",'L2-B TS1-Submission'!P49,"")</f>
        <v/>
      </c>
    </row>
    <row r="267" ht="16" customHeight="1" s="125">
      <c r="A267" s="244">
        <f>'L2-B TS1-Submission'!A50</f>
        <v/>
      </c>
      <c r="B267" s="245">
        <f>"   ↳  "&amp;IF('L2-B TS1-Submission'!H50="Yes","★ ","")&amp;'L2-B TS1-Submission'!C50</f>
        <v/>
      </c>
      <c r="C267" s="204" t="n"/>
      <c r="D267" s="240">
        <f>IF('L2-B TS1-Submission'!M50="Met","✓ Met",IF('L2-B TS1-Submission'!M50="Not Met","✗ Not met",IF('L2-B TS1-Submission'!M50="N/A","— N/A","○ Not tested")))</f>
        <v/>
      </c>
      <c r="E267" s="245" t="n"/>
      <c r="F267" s="245">
        <f>IF('L2-B TS1-Submission'!P50&lt;&gt;"",'L2-B TS1-Submission'!P50,"")</f>
        <v/>
      </c>
    </row>
    <row r="268" ht="16" customHeight="1" s="125">
      <c r="A268" s="244">
        <f>'L2-B TS1-Submission'!A51</f>
        <v/>
      </c>
      <c r="B268" s="245">
        <f>"   ↳  "&amp;IF('L2-B TS1-Submission'!H51="Yes","★ ","")&amp;'L2-B TS1-Submission'!C51</f>
        <v/>
      </c>
      <c r="C268" s="204" t="n"/>
      <c r="D268" s="240">
        <f>IF('L2-B TS1-Submission'!M51="Met","✓ Met",IF('L2-B TS1-Submission'!M51="Not Met","✗ Not met",IF('L2-B TS1-Submission'!M51="N/A","— N/A","○ Not tested")))</f>
        <v/>
      </c>
      <c r="E268" s="245" t="n"/>
      <c r="F268" s="245">
        <f>IF('L2-B TS1-Submission'!P51&lt;&gt;"",'L2-B TS1-Submission'!P51,"")</f>
        <v/>
      </c>
    </row>
    <row r="269" ht="16" customHeight="1" s="125">
      <c r="A269" s="244">
        <f>'L2-B TS1-Submission'!A52</f>
        <v/>
      </c>
      <c r="B269" s="245">
        <f>"   ↳  "&amp;IF('L2-B TS1-Submission'!H52="Yes","★ ","")&amp;'L2-B TS1-Submission'!C52</f>
        <v/>
      </c>
      <c r="C269" s="204" t="n"/>
      <c r="D269" s="240">
        <f>IF('L2-B TS1-Submission'!M52="Met","✓ Met",IF('L2-B TS1-Submission'!M52="Not Met","✗ Not met",IF('L2-B TS1-Submission'!M52="N/A","— N/A","○ Not tested")))</f>
        <v/>
      </c>
      <c r="E269" s="245" t="n"/>
      <c r="F269" s="245">
        <f>IF('L2-B TS1-Submission'!P52&lt;&gt;"",'L2-B TS1-Submission'!P52,"")</f>
        <v/>
      </c>
    </row>
    <row r="270" ht="16" customHeight="1" s="125">
      <c r="A270" s="244">
        <f>'L2-B TS1-Submission'!A53</f>
        <v/>
      </c>
      <c r="B270" s="245">
        <f>"   ↳  "&amp;IF('L2-B TS1-Submission'!H53="Yes","★ ","")&amp;'L2-B TS1-Submission'!C53</f>
        <v/>
      </c>
      <c r="C270" s="204" t="n"/>
      <c r="D270" s="240">
        <f>IF('L2-B TS1-Submission'!M53="Met","✓ Met",IF('L2-B TS1-Submission'!M53="Not Met","✗ Not met",IF('L2-B TS1-Submission'!M53="N/A","— N/A","○ Not tested")))</f>
        <v/>
      </c>
      <c r="E270" s="245" t="n"/>
      <c r="F270" s="245">
        <f>IF('L2-B TS1-Submission'!P53&lt;&gt;"",'L2-B TS1-Submission'!P53,"")</f>
        <v/>
      </c>
    </row>
    <row r="271" ht="43" customHeight="1" s="125">
      <c r="A271" s="238">
        <f>'L2-B TS1-Submission'!A54</f>
        <v/>
      </c>
      <c r="B271" s="239">
        <f>'L2-B TS1-Submission'!C54&amp;CHAR(10)&amp;"["&amp;'L2-B TS1-Submission'!B54&amp;" · "&amp;'L2-B TS1-Submission'!G54&amp;"]"</f>
        <v/>
      </c>
      <c r="C271" s="240">
        <f>IF('L2-B TS1-Submission'!I54=0,"Info only",IF('L2-B TS1-Submission'!H54="Yes","★ CRITICAL"&amp;CHAR(10),IF('L2-B TS1-Submission'!H54="★ subs","★ critical sub-items"&amp;CHAR(10),""))&amp;'L2-B TS1-Submission'!J54&amp;" · W"&amp;'L2-B TS1-Submission'!I54)</f>
        <v/>
      </c>
      <c r="D271" s="226">
        <f>IF('L2-B TS1-Submission'!I54=0,"— Not scored",IF('L2-B TS1-Submission'!J54="Tier",IF('L2-B TS1-Submission'!M54="Fully integrated","✓ FULLY INTEGRATED",IF('L2-B TS1-Submission'!M54="Not Met","✗ NOT MET",IF('L2-B TS1-Submission'!M54="Not Tested","○ NOT TESTED","◐ "&amp;UPPER('L2-B TS1-Submission'!M54)))),IF('L2-B TS1-Submission'!M54="Met","✓ MET",IF('L2-B TS1-Submission'!M54="Not Met","✗ NOT MET",IF('L2-B TS1-Submission'!M54="N/A","— N/A",IF('L2-B TS1-Submission'!M54="Counted",IF(AND('L2-B TS1-Submission'!N54&gt;=1,'L2-B TS1-Submission'!S54=0),"✓ MET",IF('L2-B TS1-Submission'!J54="All-or-nothing","✗ NOT MET",IF('L2-B TS1-Submission'!S54=1,"✗ NOT MET (★)","◐ PARTIAL")))&amp;CHAR(10)&amp;"("&amp;'L2-B TS1-Submission'!L54&amp;" of "&amp;'L2-B TS1-Submission'!K54&amp;")","○ NOT TESTED"))))))</f>
        <v/>
      </c>
      <c r="E271" s="241">
        <f>IF('L2-B TS1-Submission'!N54="","—",'L2-B TS1-Submission'!N54)</f>
        <v/>
      </c>
      <c r="F271" s="223">
        <f>'L2-B TS1-Submission'!O54&amp;IF('L2-B TS1-Submission'!P54&lt;&gt;"",CHAR(10)&amp;"Notes: "&amp;'L2-B TS1-Submission'!P54,"")</f>
        <v/>
      </c>
    </row>
    <row r="272" ht="124" customHeight="1" s="125">
      <c r="A272" s="242" t="n"/>
      <c r="B272" s="243">
        <f>"Developer's Guide: "&amp;IFERROR(LEFT('L2-B TS1-Submission'!D54,FIND(CHAR(10)&amp;CHAR(10)&amp;"Purpose:",'L2-B TS1-Submission'!D54)-1),'L2-B TS1-Submission'!D54)</f>
        <v/>
      </c>
      <c r="C272" s="243">
        <f>"Validator's Guide: "&amp;'L2-B TS1-Submission'!E54&amp;CHAR(10)&amp;"Evidence: "&amp;'L2-B TS1-Submission'!F54</f>
        <v/>
      </c>
      <c r="D272" s="203" t="n"/>
      <c r="E272" s="203" t="n"/>
      <c r="F272" s="204" t="n"/>
    </row>
    <row r="273" ht="43" customHeight="1" s="125">
      <c r="A273" s="238">
        <f>'L2-B TS1-Submission'!A55</f>
        <v/>
      </c>
      <c r="B273" s="239">
        <f>'L2-B TS1-Submission'!C55&amp;CHAR(10)&amp;"["&amp;'L2-B TS1-Submission'!B55&amp;" · "&amp;'L2-B TS1-Submission'!G55&amp;"]"</f>
        <v/>
      </c>
      <c r="C273" s="240">
        <f>IF('L2-B TS1-Submission'!I55=0,"Info only",IF('L2-B TS1-Submission'!H55="Yes","★ CRITICAL"&amp;CHAR(10),IF('L2-B TS1-Submission'!H55="★ subs","★ critical sub-items"&amp;CHAR(10),""))&amp;'L2-B TS1-Submission'!J55&amp;" · W"&amp;'L2-B TS1-Submission'!I55)</f>
        <v/>
      </c>
      <c r="D273" s="226">
        <f>IF('L2-B TS1-Submission'!I55=0,"— Not scored",IF('L2-B TS1-Submission'!J55="Tier",IF('L2-B TS1-Submission'!M55="Fully integrated","✓ FULLY INTEGRATED",IF('L2-B TS1-Submission'!M55="Not Met","✗ NOT MET",IF('L2-B TS1-Submission'!M55="Not Tested","○ NOT TESTED","◐ "&amp;UPPER('L2-B TS1-Submission'!M55)))),IF('L2-B TS1-Submission'!M55="Met","✓ MET",IF('L2-B TS1-Submission'!M55="Not Met","✗ NOT MET",IF('L2-B TS1-Submission'!M55="N/A","— N/A",IF('L2-B TS1-Submission'!M55="Counted",IF(AND('L2-B TS1-Submission'!N55&gt;=1,'L2-B TS1-Submission'!S55=0),"✓ MET",IF('L2-B TS1-Submission'!J55="All-or-nothing","✗ NOT MET",IF('L2-B TS1-Submission'!S55=1,"✗ NOT MET (★)","◐ PARTIAL")))&amp;CHAR(10)&amp;"("&amp;'L2-B TS1-Submission'!L55&amp;" of "&amp;'L2-B TS1-Submission'!K55&amp;")","○ NOT TESTED"))))))</f>
        <v/>
      </c>
      <c r="E273" s="241">
        <f>IF('L2-B TS1-Submission'!N55="","—",'L2-B TS1-Submission'!N55)</f>
        <v/>
      </c>
      <c r="F273" s="223">
        <f>'L2-B TS1-Submission'!O55&amp;IF('L2-B TS1-Submission'!P55&lt;&gt;"",CHAR(10)&amp;"Notes: "&amp;'L2-B TS1-Submission'!P55,"")</f>
        <v/>
      </c>
    </row>
    <row r="274" ht="124" customHeight="1" s="125">
      <c r="A274" s="242" t="n"/>
      <c r="B274" s="243">
        <f>"Developer's Guide: "&amp;IFERROR(LEFT('L2-B TS1-Submission'!D55,FIND(CHAR(10)&amp;CHAR(10)&amp;"Purpose:",'L2-B TS1-Submission'!D55)-1),'L2-B TS1-Submission'!D55)</f>
        <v/>
      </c>
      <c r="C274" s="243">
        <f>"Validator's Guide: "&amp;'L2-B TS1-Submission'!E55&amp;CHAR(10)&amp;"Evidence: "&amp;'L2-B TS1-Submission'!F55</f>
        <v/>
      </c>
      <c r="D274" s="203" t="n"/>
      <c r="E274" s="203" t="n"/>
      <c r="F274" s="204" t="n"/>
    </row>
    <row r="275" ht="43" customHeight="1" s="125">
      <c r="A275" s="238">
        <f>'L2-B TS1-Submission'!A56</f>
        <v/>
      </c>
      <c r="B275" s="239">
        <f>'L2-B TS1-Submission'!C56&amp;CHAR(10)&amp;"["&amp;'L2-B TS1-Submission'!B56&amp;" · "&amp;'L2-B TS1-Submission'!G56&amp;"]"</f>
        <v/>
      </c>
      <c r="C275" s="240">
        <f>IF('L2-B TS1-Submission'!I56=0,"Info only",IF('L2-B TS1-Submission'!H56="Yes","★ CRITICAL"&amp;CHAR(10),IF('L2-B TS1-Submission'!H56="★ subs","★ critical sub-items"&amp;CHAR(10),""))&amp;'L2-B TS1-Submission'!J56&amp;" · W"&amp;'L2-B TS1-Submission'!I56)</f>
        <v/>
      </c>
      <c r="D275" s="226">
        <f>IF('L2-B TS1-Submission'!I56=0,"— Not scored",IF('L2-B TS1-Submission'!J56="Tier",IF('L2-B TS1-Submission'!M56="Fully integrated","✓ FULLY INTEGRATED",IF('L2-B TS1-Submission'!M56="Not Met","✗ NOT MET",IF('L2-B TS1-Submission'!M56="Not Tested","○ NOT TESTED","◐ "&amp;UPPER('L2-B TS1-Submission'!M56)))),IF('L2-B TS1-Submission'!M56="Met","✓ MET",IF('L2-B TS1-Submission'!M56="Not Met","✗ NOT MET",IF('L2-B TS1-Submission'!M56="N/A","— N/A",IF('L2-B TS1-Submission'!M56="Counted",IF(AND('L2-B TS1-Submission'!N56&gt;=1,'L2-B TS1-Submission'!S56=0),"✓ MET",IF('L2-B TS1-Submission'!J56="All-or-nothing","✗ NOT MET",IF('L2-B TS1-Submission'!S56=1,"✗ NOT MET (★)","◐ PARTIAL")))&amp;CHAR(10)&amp;"("&amp;'L2-B TS1-Submission'!L56&amp;" of "&amp;'L2-B TS1-Submission'!K56&amp;")","○ NOT TESTED"))))))</f>
        <v/>
      </c>
      <c r="E275" s="241">
        <f>IF('L2-B TS1-Submission'!N56="","—",'L2-B TS1-Submission'!N56)</f>
        <v/>
      </c>
      <c r="F275" s="223">
        <f>'L2-B TS1-Submission'!O56&amp;IF('L2-B TS1-Submission'!P56&lt;&gt;"",CHAR(10)&amp;"Notes: "&amp;'L2-B TS1-Submission'!P56,"")</f>
        <v/>
      </c>
    </row>
    <row r="276" ht="184" customHeight="1" s="125">
      <c r="A276" s="242" t="n"/>
      <c r="B276" s="243">
        <f>"Developer's Guide: "&amp;IFERROR(LEFT('L2-B TS1-Submission'!D56,FIND(CHAR(10)&amp;CHAR(10)&amp;"Purpose:",'L2-B TS1-Submission'!D56)-1),'L2-B TS1-Submission'!D56)</f>
        <v/>
      </c>
      <c r="C276" s="243">
        <f>"Validator's Guide: "&amp;'L2-B TS1-Submission'!E56&amp;CHAR(10)&amp;"Evidence: "&amp;'L2-B TS1-Submission'!F56</f>
        <v/>
      </c>
      <c r="D276" s="203" t="n"/>
      <c r="E276" s="203" t="n"/>
      <c r="F276" s="204" t="n"/>
    </row>
    <row r="277" ht="16" customHeight="1" s="125">
      <c r="A277" s="244">
        <f>'L2-B TS1-Submission'!A57</f>
        <v/>
      </c>
      <c r="B277" s="245">
        <f>"   ↳  "&amp;IF('L2-B TS1-Submission'!H57="Yes","★ ","")&amp;'L2-B TS1-Submission'!C57</f>
        <v/>
      </c>
      <c r="C277" s="204" t="n"/>
      <c r="D277" s="240">
        <f>IF('L2-B TS1-Submission'!M57="Met","✓ Met",IF('L2-B TS1-Submission'!M57="Not Met","✗ Not met",IF('L2-B TS1-Submission'!M57="N/A","— N/A","○ Not tested")))</f>
        <v/>
      </c>
      <c r="E277" s="245" t="n"/>
      <c r="F277" s="245">
        <f>IF('L2-B TS1-Submission'!P57&lt;&gt;"",'L2-B TS1-Submission'!P57,"")</f>
        <v/>
      </c>
    </row>
    <row r="278" ht="16" customHeight="1" s="125">
      <c r="A278" s="244">
        <f>'L2-B TS1-Submission'!A58</f>
        <v/>
      </c>
      <c r="B278" s="245">
        <f>"   ↳  "&amp;IF('L2-B TS1-Submission'!H58="Yes","★ ","")&amp;'L2-B TS1-Submission'!C58</f>
        <v/>
      </c>
      <c r="C278" s="204" t="n"/>
      <c r="D278" s="240">
        <f>IF('L2-B TS1-Submission'!M58="Met","✓ Met",IF('L2-B TS1-Submission'!M58="Not Met","✗ Not met",IF('L2-B TS1-Submission'!M58="N/A","— N/A","○ Not tested")))</f>
        <v/>
      </c>
      <c r="E278" s="245" t="n"/>
      <c r="F278" s="245">
        <f>IF('L2-B TS1-Submission'!P58&lt;&gt;"",'L2-B TS1-Submission'!P58,"")</f>
        <v/>
      </c>
    </row>
    <row r="279" ht="43" customHeight="1" s="125">
      <c r="A279" s="238">
        <f>'L2-B TS1-Submission'!A59</f>
        <v/>
      </c>
      <c r="B279" s="239">
        <f>'L2-B TS1-Submission'!C59&amp;CHAR(10)&amp;"["&amp;'L2-B TS1-Submission'!B59&amp;" · "&amp;'L2-B TS1-Submission'!G59&amp;"]"</f>
        <v/>
      </c>
      <c r="C279" s="240">
        <f>IF('L2-B TS1-Submission'!I59=0,"Info only",IF('L2-B TS1-Submission'!H59="Yes","★ CRITICAL"&amp;CHAR(10),IF('L2-B TS1-Submission'!H59="★ subs","★ critical sub-items"&amp;CHAR(10),""))&amp;'L2-B TS1-Submission'!J59&amp;" · W"&amp;'L2-B TS1-Submission'!I59)</f>
        <v/>
      </c>
      <c r="D279" s="226">
        <f>IF('L2-B TS1-Submission'!I59=0,"— Not scored",IF('L2-B TS1-Submission'!J59="Tier",IF('L2-B TS1-Submission'!M59="Fully integrated","✓ FULLY INTEGRATED",IF('L2-B TS1-Submission'!M59="Not Met","✗ NOT MET",IF('L2-B TS1-Submission'!M59="Not Tested","○ NOT TESTED","◐ "&amp;UPPER('L2-B TS1-Submission'!M59)))),IF('L2-B TS1-Submission'!M59="Met","✓ MET",IF('L2-B TS1-Submission'!M59="Not Met","✗ NOT MET",IF('L2-B TS1-Submission'!M59="N/A","— N/A",IF('L2-B TS1-Submission'!M59="Counted",IF(AND('L2-B TS1-Submission'!N59&gt;=1,'L2-B TS1-Submission'!S59=0),"✓ MET",IF('L2-B TS1-Submission'!J59="All-or-nothing","✗ NOT MET",IF('L2-B TS1-Submission'!S59=1,"✗ NOT MET (★)","◐ PARTIAL")))&amp;CHAR(10)&amp;"("&amp;'L2-B TS1-Submission'!L59&amp;" of "&amp;'L2-B TS1-Submission'!K59&amp;")","○ NOT TESTED"))))))</f>
        <v/>
      </c>
      <c r="E279" s="241">
        <f>IF('L2-B TS1-Submission'!N59="","—",'L2-B TS1-Submission'!N59)</f>
        <v/>
      </c>
      <c r="F279" s="223">
        <f>'L2-B TS1-Submission'!O59&amp;IF('L2-B TS1-Submission'!P59&lt;&gt;"",CHAR(10)&amp;"Notes: "&amp;'L2-B TS1-Submission'!P59,"")</f>
        <v/>
      </c>
    </row>
    <row r="280" ht="196" customHeight="1" s="125">
      <c r="A280" s="242" t="n"/>
      <c r="B280" s="243">
        <f>"Developer's Guide: "&amp;IFERROR(LEFT('L2-B TS1-Submission'!D59,FIND(CHAR(10)&amp;CHAR(10)&amp;"Purpose:",'L2-B TS1-Submission'!D59)-1),'L2-B TS1-Submission'!D59)</f>
        <v/>
      </c>
      <c r="C280" s="243">
        <f>"Validator's Guide: "&amp;'L2-B TS1-Submission'!E59&amp;CHAR(10)&amp;"Evidence: "&amp;'L2-B TS1-Submission'!F59</f>
        <v/>
      </c>
      <c r="D280" s="203" t="n"/>
      <c r="E280" s="203" t="n"/>
      <c r="F280" s="204" t="n"/>
    </row>
    <row r="281" ht="16" customHeight="1" s="125">
      <c r="A281" s="244">
        <f>'L2-B TS1-Submission'!A60</f>
        <v/>
      </c>
      <c r="B281" s="245">
        <f>"   ↳  "&amp;IF('L2-B TS1-Submission'!H60="Yes","★ ","")&amp;'L2-B TS1-Submission'!C60</f>
        <v/>
      </c>
      <c r="C281" s="204" t="n"/>
      <c r="D281" s="240">
        <f>IF('L2-B TS1-Submission'!M60="Met","✓ Met",IF('L2-B TS1-Submission'!M60="Not Met","✗ Not met",IF('L2-B TS1-Submission'!M60="N/A","— N/A","○ Not tested")))</f>
        <v/>
      </c>
      <c r="E281" s="245" t="n"/>
      <c r="F281" s="245">
        <f>IF('L2-B TS1-Submission'!P60&lt;&gt;"",'L2-B TS1-Submission'!P60,"")</f>
        <v/>
      </c>
    </row>
    <row r="282" ht="29" customHeight="1" s="125">
      <c r="A282" s="244">
        <f>'L2-B TS1-Submission'!A61</f>
        <v/>
      </c>
      <c r="B282" s="245">
        <f>"   ↳  "&amp;IF('L2-B TS1-Submission'!H61="Yes","★ ","")&amp;'L2-B TS1-Submission'!C61</f>
        <v/>
      </c>
      <c r="C282" s="204" t="n"/>
      <c r="D282" s="240">
        <f>IF('L2-B TS1-Submission'!M61="Met","✓ Met",IF('L2-B TS1-Submission'!M61="Not Met","✗ Not met",IF('L2-B TS1-Submission'!M61="N/A","— N/A","○ Not tested")))</f>
        <v/>
      </c>
      <c r="E282" s="245" t="n"/>
      <c r="F282" s="245">
        <f>IF('L2-B TS1-Submission'!P61&lt;&gt;"",'L2-B TS1-Submission'!P61,"")</f>
        <v/>
      </c>
    </row>
    <row r="283" ht="29" customHeight="1" s="125">
      <c r="A283" s="244">
        <f>'L2-B TS1-Submission'!A62</f>
        <v/>
      </c>
      <c r="B283" s="245">
        <f>"   ↳  "&amp;IF('L2-B TS1-Submission'!H62="Yes","★ ","")&amp;'L2-B TS1-Submission'!C62</f>
        <v/>
      </c>
      <c r="C283" s="204" t="n"/>
      <c r="D283" s="240">
        <f>IF('L2-B TS1-Submission'!M62="Met","✓ Met",IF('L2-B TS1-Submission'!M62="Not Met","✗ Not met",IF('L2-B TS1-Submission'!M62="N/A","— N/A","○ Not tested")))</f>
        <v/>
      </c>
      <c r="E283" s="245" t="n"/>
      <c r="F283" s="245">
        <f>IF('L2-B TS1-Submission'!P62&lt;&gt;"",'L2-B TS1-Submission'!P62,"")</f>
        <v/>
      </c>
    </row>
    <row r="284" ht="16" customHeight="1" s="125">
      <c r="A284" s="244">
        <f>'L2-B TS1-Submission'!A63</f>
        <v/>
      </c>
      <c r="B284" s="245">
        <f>"   ↳  "&amp;IF('L2-B TS1-Submission'!H63="Yes","★ ","")&amp;'L2-B TS1-Submission'!C63</f>
        <v/>
      </c>
      <c r="C284" s="204" t="n"/>
      <c r="D284" s="240">
        <f>IF('L2-B TS1-Submission'!M63="Met","✓ Met",IF('L2-B TS1-Submission'!M63="Not Met","✗ Not met",IF('L2-B TS1-Submission'!M63="N/A","— N/A","○ Not tested")))</f>
        <v/>
      </c>
      <c r="E284" s="245" t="n"/>
      <c r="F284" s="245">
        <f>IF('L2-B TS1-Submission'!P63&lt;&gt;"",'L2-B TS1-Submission'!P63,"")</f>
        <v/>
      </c>
    </row>
    <row r="285" ht="43" customHeight="1" s="125">
      <c r="A285" s="238">
        <f>'L2-B TS1-Submission'!A64</f>
        <v/>
      </c>
      <c r="B285" s="239">
        <f>'L2-B TS1-Submission'!C64&amp;CHAR(10)&amp;"["&amp;'L2-B TS1-Submission'!B64&amp;" · "&amp;'L2-B TS1-Submission'!G64&amp;"]"</f>
        <v/>
      </c>
      <c r="C285" s="240">
        <f>IF('L2-B TS1-Submission'!I64=0,"Info only",IF('L2-B TS1-Submission'!H64="Yes","★ CRITICAL"&amp;CHAR(10),IF('L2-B TS1-Submission'!H64="★ subs","★ critical sub-items"&amp;CHAR(10),""))&amp;'L2-B TS1-Submission'!J64&amp;" · W"&amp;'L2-B TS1-Submission'!I64)</f>
        <v/>
      </c>
      <c r="D285" s="226">
        <f>IF('L2-B TS1-Submission'!I64=0,"— Not scored",IF('L2-B TS1-Submission'!J64="Tier",IF('L2-B TS1-Submission'!M64="Fully integrated","✓ FULLY INTEGRATED",IF('L2-B TS1-Submission'!M64="Not Met","✗ NOT MET",IF('L2-B TS1-Submission'!M64="Not Tested","○ NOT TESTED","◐ "&amp;UPPER('L2-B TS1-Submission'!M64)))),IF('L2-B TS1-Submission'!M64="Met","✓ MET",IF('L2-B TS1-Submission'!M64="Not Met","✗ NOT MET",IF('L2-B TS1-Submission'!M64="N/A","— N/A",IF('L2-B TS1-Submission'!M64="Counted",IF(AND('L2-B TS1-Submission'!N64&gt;=1,'L2-B TS1-Submission'!S64=0),"✓ MET",IF('L2-B TS1-Submission'!J64="All-or-nothing","✗ NOT MET",IF('L2-B TS1-Submission'!S64=1,"✗ NOT MET (★)","◐ PARTIAL")))&amp;CHAR(10)&amp;"("&amp;'L2-B TS1-Submission'!L64&amp;" of "&amp;'L2-B TS1-Submission'!K64&amp;")","○ NOT TESTED"))))))</f>
        <v/>
      </c>
      <c r="E285" s="241">
        <f>IF('L2-B TS1-Submission'!N64="","—",'L2-B TS1-Submission'!N64)</f>
        <v/>
      </c>
      <c r="F285" s="223">
        <f>'L2-B TS1-Submission'!O64&amp;IF('L2-B TS1-Submission'!P64&lt;&gt;"",CHAR(10)&amp;"Notes: "&amp;'L2-B TS1-Submission'!P64,"")</f>
        <v/>
      </c>
    </row>
    <row r="286" ht="112" customHeight="1" s="125">
      <c r="A286" s="242" t="n"/>
      <c r="B286" s="243">
        <f>"Developer's Guide: "&amp;IFERROR(LEFT('L2-B TS1-Submission'!D64,FIND(CHAR(10)&amp;CHAR(10)&amp;"Purpose:",'L2-B TS1-Submission'!D64)-1),'L2-B TS1-Submission'!D64)</f>
        <v/>
      </c>
      <c r="C286" s="243">
        <f>"Validator's Guide: "&amp;'L2-B TS1-Submission'!E64&amp;CHAR(10)&amp;"Evidence: "&amp;'L2-B TS1-Submission'!F64</f>
        <v/>
      </c>
      <c r="D286" s="203" t="n"/>
      <c r="E286" s="203" t="n"/>
      <c r="F286" s="204" t="n"/>
    </row>
    <row r="287" ht="43" customHeight="1" s="125">
      <c r="A287" s="238">
        <f>'L2-B TS1-Submission'!A65</f>
        <v/>
      </c>
      <c r="B287" s="239">
        <f>'L2-B TS1-Submission'!C65&amp;CHAR(10)&amp;"["&amp;'L2-B TS1-Submission'!B65&amp;" · "&amp;'L2-B TS1-Submission'!G65&amp;"]"</f>
        <v/>
      </c>
      <c r="C287" s="240">
        <f>IF('L2-B TS1-Submission'!I65=0,"Info only",IF('L2-B TS1-Submission'!H65="Yes","★ CRITICAL"&amp;CHAR(10),IF('L2-B TS1-Submission'!H65="★ subs","★ critical sub-items"&amp;CHAR(10),""))&amp;'L2-B TS1-Submission'!J65&amp;" · W"&amp;'L2-B TS1-Submission'!I65)</f>
        <v/>
      </c>
      <c r="D287" s="226">
        <f>IF('L2-B TS1-Submission'!I65=0,"— Not scored",IF('L2-B TS1-Submission'!J65="Tier",IF('L2-B TS1-Submission'!M65="Fully integrated","✓ FULLY INTEGRATED",IF('L2-B TS1-Submission'!M65="Not Met","✗ NOT MET",IF('L2-B TS1-Submission'!M65="Not Tested","○ NOT TESTED","◐ "&amp;UPPER('L2-B TS1-Submission'!M65)))),IF('L2-B TS1-Submission'!M65="Met","✓ MET",IF('L2-B TS1-Submission'!M65="Not Met","✗ NOT MET",IF('L2-B TS1-Submission'!M65="N/A","— N/A",IF('L2-B TS1-Submission'!M65="Counted",IF(AND('L2-B TS1-Submission'!N65&gt;=1,'L2-B TS1-Submission'!S65=0),"✓ MET",IF('L2-B TS1-Submission'!J65="All-or-nothing","✗ NOT MET",IF('L2-B TS1-Submission'!S65=1,"✗ NOT MET (★)","◐ PARTIAL")))&amp;CHAR(10)&amp;"("&amp;'L2-B TS1-Submission'!L65&amp;" of "&amp;'L2-B TS1-Submission'!K65&amp;")","○ NOT TESTED"))))))</f>
        <v/>
      </c>
      <c r="E287" s="241">
        <f>IF('L2-B TS1-Submission'!N65="","—",'L2-B TS1-Submission'!N65)</f>
        <v/>
      </c>
      <c r="F287" s="223">
        <f>'L2-B TS1-Submission'!O65&amp;IF('L2-B TS1-Submission'!P65&lt;&gt;"",CHAR(10)&amp;"Notes: "&amp;'L2-B TS1-Submission'!P65,"")</f>
        <v/>
      </c>
    </row>
    <row r="288" ht="40" customHeight="1" s="125">
      <c r="A288" s="242" t="n"/>
      <c r="B288" s="243">
        <f>"Developer's Guide: "&amp;IFERROR(LEFT('L2-B TS1-Submission'!D65,FIND(CHAR(10)&amp;CHAR(10)&amp;"Purpose:",'L2-B TS1-Submission'!D65)-1),'L2-B TS1-Submission'!D65)</f>
        <v/>
      </c>
      <c r="C288" s="243">
        <f>"Validator's Guide: "&amp;'L2-B TS1-Submission'!E65&amp;CHAR(10)&amp;"Evidence: "&amp;'L2-B TS1-Submission'!F65</f>
        <v/>
      </c>
      <c r="D288" s="203" t="n"/>
      <c r="E288" s="203" t="n"/>
      <c r="F288" s="204" t="n"/>
    </row>
    <row r="289" ht="56" customHeight="1" s="125">
      <c r="A289" s="238">
        <f>'L2-B TS1-Submission'!A66</f>
        <v/>
      </c>
      <c r="B289" s="239">
        <f>'L2-B TS1-Submission'!C66&amp;CHAR(10)&amp;"["&amp;'L2-B TS1-Submission'!B66&amp;" · "&amp;'L2-B TS1-Submission'!G66&amp;"]"</f>
        <v/>
      </c>
      <c r="C289" s="240">
        <f>IF('L2-B TS1-Submission'!I66=0,"Info only",IF('L2-B TS1-Submission'!H66="Yes","★ CRITICAL"&amp;CHAR(10),IF('L2-B TS1-Submission'!H66="★ subs","★ critical sub-items"&amp;CHAR(10),""))&amp;'L2-B TS1-Submission'!J66&amp;" · W"&amp;'L2-B TS1-Submission'!I66)</f>
        <v/>
      </c>
      <c r="D289" s="226">
        <f>IF('L2-B TS1-Submission'!I66=0,"— Not scored",IF('L2-B TS1-Submission'!J66="Tier",IF('L2-B TS1-Submission'!M66="Fully integrated","✓ FULLY INTEGRATED",IF('L2-B TS1-Submission'!M66="Not Met","✗ NOT MET",IF('L2-B TS1-Submission'!M66="Not Tested","○ NOT TESTED","◐ "&amp;UPPER('L2-B TS1-Submission'!M66)))),IF('L2-B TS1-Submission'!M66="Met","✓ MET",IF('L2-B TS1-Submission'!M66="Not Met","✗ NOT MET",IF('L2-B TS1-Submission'!M66="N/A","— N/A",IF('L2-B TS1-Submission'!M66="Counted",IF(AND('L2-B TS1-Submission'!N66&gt;=1,'L2-B TS1-Submission'!S66=0),"✓ MET",IF('L2-B TS1-Submission'!J66="All-or-nothing","✗ NOT MET",IF('L2-B TS1-Submission'!S66=1,"✗ NOT MET (★)","◐ PARTIAL")))&amp;CHAR(10)&amp;"("&amp;'L2-B TS1-Submission'!L66&amp;" of "&amp;'L2-B TS1-Submission'!K66&amp;")","○ NOT TESTED"))))))</f>
        <v/>
      </c>
      <c r="E289" s="241">
        <f>IF('L2-B TS1-Submission'!N66="","—",'L2-B TS1-Submission'!N66)</f>
        <v/>
      </c>
      <c r="F289" s="223">
        <f>'L2-B TS1-Submission'!O66&amp;IF('L2-B TS1-Submission'!P66&lt;&gt;"",CHAR(10)&amp;"Notes: "&amp;'L2-B TS1-Submission'!P66,"")</f>
        <v/>
      </c>
    </row>
    <row r="290" ht="40" customHeight="1" s="125">
      <c r="A290" s="242" t="n"/>
      <c r="B290" s="243">
        <f>"Developer's Guide: "&amp;IFERROR(LEFT('L2-B TS1-Submission'!D66,FIND(CHAR(10)&amp;CHAR(10)&amp;"Purpose:",'L2-B TS1-Submission'!D66)-1),'L2-B TS1-Submission'!D66)</f>
        <v/>
      </c>
      <c r="C290" s="243">
        <f>"Validator's Guide: "&amp;'L2-B TS1-Submission'!E66&amp;CHAR(10)&amp;"Evidence: "&amp;'L2-B TS1-Submission'!F66</f>
        <v/>
      </c>
      <c r="D290" s="203" t="n"/>
      <c r="E290" s="203" t="n"/>
      <c r="F290" s="204" t="n"/>
    </row>
    <row r="291" ht="69" customHeight="1" s="125">
      <c r="A291" s="238">
        <f>'L2-B TS1-Submission'!A67</f>
        <v/>
      </c>
      <c r="B291" s="239">
        <f>'L2-B TS1-Submission'!C67&amp;CHAR(10)&amp;"["&amp;'L2-B TS1-Submission'!B67&amp;" · "&amp;'L2-B TS1-Submission'!G67&amp;"]"</f>
        <v/>
      </c>
      <c r="C291" s="240">
        <f>IF('L2-B TS1-Submission'!I67=0,"Info only",IF('L2-B TS1-Submission'!H67="Yes","★ CRITICAL"&amp;CHAR(10),IF('L2-B TS1-Submission'!H67="★ subs","★ critical sub-items"&amp;CHAR(10),""))&amp;'L2-B TS1-Submission'!J67&amp;" · W"&amp;'L2-B TS1-Submission'!I67)</f>
        <v/>
      </c>
      <c r="D291" s="226">
        <f>IF('L2-B TS1-Submission'!I67=0,"— Not scored",IF('L2-B TS1-Submission'!J67="Tier",IF('L2-B TS1-Submission'!M67="Fully integrated","✓ FULLY INTEGRATED",IF('L2-B TS1-Submission'!M67="Not Met","✗ NOT MET",IF('L2-B TS1-Submission'!M67="Not Tested","○ NOT TESTED","◐ "&amp;UPPER('L2-B TS1-Submission'!M67)))),IF('L2-B TS1-Submission'!M67="Met","✓ MET",IF('L2-B TS1-Submission'!M67="Not Met","✗ NOT MET",IF('L2-B TS1-Submission'!M67="N/A","— N/A",IF('L2-B TS1-Submission'!M67="Counted",IF(AND('L2-B TS1-Submission'!N67&gt;=1,'L2-B TS1-Submission'!S67=0),"✓ MET",IF('L2-B TS1-Submission'!J67="All-or-nothing","✗ NOT MET",IF('L2-B TS1-Submission'!S67=1,"✗ NOT MET (★)","◐ PARTIAL")))&amp;CHAR(10)&amp;"("&amp;'L2-B TS1-Submission'!L67&amp;" of "&amp;'L2-B TS1-Submission'!K67&amp;")","○ NOT TESTED"))))))</f>
        <v/>
      </c>
      <c r="E291" s="241">
        <f>IF('L2-B TS1-Submission'!N67="","—",'L2-B TS1-Submission'!N67)</f>
        <v/>
      </c>
      <c r="F291" s="223">
        <f>'L2-B TS1-Submission'!O67&amp;IF('L2-B TS1-Submission'!P67&lt;&gt;"",CHAR(10)&amp;"Notes: "&amp;'L2-B TS1-Submission'!P67,"")</f>
        <v/>
      </c>
    </row>
    <row r="292" ht="160" customHeight="1" s="125">
      <c r="A292" s="242" t="n"/>
      <c r="B292" s="243">
        <f>"Developer's Guide: "&amp;IFERROR(LEFT('L2-B TS1-Submission'!D67,FIND(CHAR(10)&amp;CHAR(10)&amp;"Purpose:",'L2-B TS1-Submission'!D67)-1),'L2-B TS1-Submission'!D67)</f>
        <v/>
      </c>
      <c r="C292" s="243">
        <f>"Validator's Guide: "&amp;'L2-B TS1-Submission'!E67&amp;CHAR(10)&amp;"Evidence: "&amp;'L2-B TS1-Submission'!F67</f>
        <v/>
      </c>
      <c r="D292" s="203" t="n"/>
      <c r="E292" s="203" t="n"/>
      <c r="F292" s="204" t="n"/>
    </row>
    <row r="293" ht="29" customHeight="1" s="125">
      <c r="A293" s="244">
        <f>'L2-B TS1-Submission'!A68</f>
        <v/>
      </c>
      <c r="B293" s="245">
        <f>"   ↳  "&amp;IF('L2-B TS1-Submission'!H68="Yes","★ ","")&amp;'L2-B TS1-Submission'!C68</f>
        <v/>
      </c>
      <c r="C293" s="204" t="n"/>
      <c r="D293" s="240">
        <f>IF('L2-B TS1-Submission'!M68="Met","✓ Met",IF('L2-B TS1-Submission'!M68="Not Met","✗ Not met",IF('L2-B TS1-Submission'!M68="N/A","— N/A","○ Not tested")))</f>
        <v/>
      </c>
      <c r="E293" s="245" t="n"/>
      <c r="F293" s="245">
        <f>IF('L2-B TS1-Submission'!P68&lt;&gt;"",'L2-B TS1-Submission'!P68,"")</f>
        <v/>
      </c>
    </row>
    <row r="294" ht="29" customHeight="1" s="125">
      <c r="A294" s="244">
        <f>'L2-B TS1-Submission'!A69</f>
        <v/>
      </c>
      <c r="B294" s="245">
        <f>"   ↳  "&amp;IF('L2-B TS1-Submission'!H69="Yes","★ ","")&amp;'L2-B TS1-Submission'!C69</f>
        <v/>
      </c>
      <c r="C294" s="204" t="n"/>
      <c r="D294" s="240">
        <f>IF('L2-B TS1-Submission'!M69="Met","✓ Met",IF('L2-B TS1-Submission'!M69="Not Met","✗ Not met",IF('L2-B TS1-Submission'!M69="N/A","— N/A","○ Not tested")))</f>
        <v/>
      </c>
      <c r="E294" s="245" t="n"/>
      <c r="F294" s="245">
        <f>IF('L2-B TS1-Submission'!P69&lt;&gt;"",'L2-B TS1-Submission'!P69,"")</f>
        <v/>
      </c>
    </row>
    <row r="295" ht="29" customHeight="1" s="125">
      <c r="A295" s="244">
        <f>'L2-B TS1-Submission'!A70</f>
        <v/>
      </c>
      <c r="B295" s="245">
        <f>"   ↳  "&amp;IF('L2-B TS1-Submission'!H70="Yes","★ ","")&amp;'L2-B TS1-Submission'!C70</f>
        <v/>
      </c>
      <c r="C295" s="204" t="n"/>
      <c r="D295" s="240">
        <f>IF('L2-B TS1-Submission'!M70="Met","✓ Met",IF('L2-B TS1-Submission'!M70="Not Met","✗ Not met",IF('L2-B TS1-Submission'!M70="N/A","— N/A","○ Not tested")))</f>
        <v/>
      </c>
      <c r="E295" s="245" t="n"/>
      <c r="F295" s="245">
        <f>IF('L2-B TS1-Submission'!P70&lt;&gt;"",'L2-B TS1-Submission'!P70,"")</f>
        <v/>
      </c>
    </row>
    <row r="296" ht="43" customHeight="1" s="125">
      <c r="A296" s="238">
        <f>'L2-B TS1-Submission'!A71</f>
        <v/>
      </c>
      <c r="B296" s="239">
        <f>'L2-B TS1-Submission'!C71&amp;CHAR(10)&amp;"["&amp;'L2-B TS1-Submission'!B71&amp;" · "&amp;'L2-B TS1-Submission'!G71&amp;"]"</f>
        <v/>
      </c>
      <c r="C296" s="240">
        <f>IF('L2-B TS1-Submission'!I71=0,"Info only",IF('L2-B TS1-Submission'!H71="Yes","★ CRITICAL"&amp;CHAR(10),IF('L2-B TS1-Submission'!H71="★ subs","★ critical sub-items"&amp;CHAR(10),""))&amp;'L2-B TS1-Submission'!J71&amp;" · W"&amp;'L2-B TS1-Submission'!I71)</f>
        <v/>
      </c>
      <c r="D296" s="226">
        <f>IF('L2-B TS1-Submission'!I71=0,"— Not scored",IF('L2-B TS1-Submission'!J71="Tier",IF('L2-B TS1-Submission'!M71="Fully integrated","✓ FULLY INTEGRATED",IF('L2-B TS1-Submission'!M71="Not Met","✗ NOT MET",IF('L2-B TS1-Submission'!M71="Not Tested","○ NOT TESTED","◐ "&amp;UPPER('L2-B TS1-Submission'!M71)))),IF('L2-B TS1-Submission'!M71="Met","✓ MET",IF('L2-B TS1-Submission'!M71="Not Met","✗ NOT MET",IF('L2-B TS1-Submission'!M71="N/A","— N/A",IF('L2-B TS1-Submission'!M71="Counted",IF(AND('L2-B TS1-Submission'!N71&gt;=1,'L2-B TS1-Submission'!S71=0),"✓ MET",IF('L2-B TS1-Submission'!J71="All-or-nothing","✗ NOT MET",IF('L2-B TS1-Submission'!S71=1,"✗ NOT MET (★)","◐ PARTIAL")))&amp;CHAR(10)&amp;"("&amp;'L2-B TS1-Submission'!L71&amp;" of "&amp;'L2-B TS1-Submission'!K71&amp;")","○ NOT TESTED"))))))</f>
        <v/>
      </c>
      <c r="E296" s="241">
        <f>IF('L2-B TS1-Submission'!N71="","—",'L2-B TS1-Submission'!N71)</f>
        <v/>
      </c>
      <c r="F296" s="223">
        <f>'L2-B TS1-Submission'!O71&amp;IF('L2-B TS1-Submission'!P71&lt;&gt;"",CHAR(10)&amp;"Notes: "&amp;'L2-B TS1-Submission'!P71,"")</f>
        <v/>
      </c>
    </row>
    <row r="297" ht="124" customHeight="1" s="125">
      <c r="A297" s="242" t="n"/>
      <c r="B297" s="243">
        <f>"Developer's Guide: "&amp;IFERROR(LEFT('L2-B TS1-Submission'!D71,FIND(CHAR(10)&amp;CHAR(10)&amp;"Purpose:",'L2-B TS1-Submission'!D71)-1),'L2-B TS1-Submission'!D71)</f>
        <v/>
      </c>
      <c r="C297" s="243">
        <f>"Validator's Guide: "&amp;'L2-B TS1-Submission'!E71&amp;CHAR(10)&amp;"Evidence: "&amp;'L2-B TS1-Submission'!F71</f>
        <v/>
      </c>
      <c r="D297" s="203" t="n"/>
      <c r="E297" s="203" t="n"/>
      <c r="F297" s="204" t="n"/>
    </row>
    <row r="298" ht="43" customHeight="1" s="125">
      <c r="A298" s="238">
        <f>'L2-B TS1-Submission'!A72</f>
        <v/>
      </c>
      <c r="B298" s="239">
        <f>'L2-B TS1-Submission'!C72&amp;CHAR(10)&amp;"["&amp;'L2-B TS1-Submission'!B72&amp;" · "&amp;'L2-B TS1-Submission'!G72&amp;"]"</f>
        <v/>
      </c>
      <c r="C298" s="240">
        <f>IF('L2-B TS1-Submission'!I72=0,"Info only",IF('L2-B TS1-Submission'!H72="Yes","★ CRITICAL"&amp;CHAR(10),IF('L2-B TS1-Submission'!H72="★ subs","★ critical sub-items"&amp;CHAR(10),""))&amp;'L2-B TS1-Submission'!J72&amp;" · W"&amp;'L2-B TS1-Submission'!I72)</f>
        <v/>
      </c>
      <c r="D298" s="226">
        <f>IF('L2-B TS1-Submission'!I72=0,"— Not scored",IF('L2-B TS1-Submission'!J72="Tier",IF('L2-B TS1-Submission'!M72="Fully integrated","✓ FULLY INTEGRATED",IF('L2-B TS1-Submission'!M72="Not Met","✗ NOT MET",IF('L2-B TS1-Submission'!M72="Not Tested","○ NOT TESTED","◐ "&amp;UPPER('L2-B TS1-Submission'!M72)))),IF('L2-B TS1-Submission'!M72="Met","✓ MET",IF('L2-B TS1-Submission'!M72="Not Met","✗ NOT MET",IF('L2-B TS1-Submission'!M72="N/A","— N/A",IF('L2-B TS1-Submission'!M72="Counted",IF(AND('L2-B TS1-Submission'!N72&gt;=1,'L2-B TS1-Submission'!S72=0),"✓ MET",IF('L2-B TS1-Submission'!J72="All-or-nothing","✗ NOT MET",IF('L2-B TS1-Submission'!S72=1,"✗ NOT MET (★)","◐ PARTIAL")))&amp;CHAR(10)&amp;"("&amp;'L2-B TS1-Submission'!L72&amp;" of "&amp;'L2-B TS1-Submission'!K72&amp;")","○ NOT TESTED"))))))</f>
        <v/>
      </c>
      <c r="E298" s="241">
        <f>IF('L2-B TS1-Submission'!N72="","—",'L2-B TS1-Submission'!N72)</f>
        <v/>
      </c>
      <c r="F298" s="223">
        <f>'L2-B TS1-Submission'!O72&amp;IF('L2-B TS1-Submission'!P72&lt;&gt;"",CHAR(10)&amp;"Notes: "&amp;'L2-B TS1-Submission'!P72,"")</f>
        <v/>
      </c>
    </row>
    <row r="299" ht="64" customHeight="1" s="125">
      <c r="A299" s="242" t="n"/>
      <c r="B299" s="243">
        <f>"Developer's Guide: "&amp;IFERROR(LEFT('L2-B TS1-Submission'!D72,FIND(CHAR(10)&amp;CHAR(10)&amp;"Purpose:",'L2-B TS1-Submission'!D72)-1),'L2-B TS1-Submission'!D72)</f>
        <v/>
      </c>
      <c r="C299" s="243">
        <f>"Validator's Guide: "&amp;'L2-B TS1-Submission'!E72&amp;CHAR(10)&amp;"Evidence: "&amp;'L2-B TS1-Submission'!F72</f>
        <v/>
      </c>
      <c r="D299" s="203" t="n"/>
      <c r="E299" s="203" t="n"/>
      <c r="F299" s="204" t="n"/>
    </row>
    <row r="300" ht="43" customHeight="1" s="125">
      <c r="A300" s="238">
        <f>'L2-B TS1-Submission'!A73</f>
        <v/>
      </c>
      <c r="B300" s="239">
        <f>'L2-B TS1-Submission'!C73&amp;CHAR(10)&amp;"["&amp;'L2-B TS1-Submission'!B73&amp;" · "&amp;'L2-B TS1-Submission'!G73&amp;"]"</f>
        <v/>
      </c>
      <c r="C300" s="240">
        <f>IF('L2-B TS1-Submission'!I73=0,"Info only",IF('L2-B TS1-Submission'!H73="Yes","★ CRITICAL"&amp;CHAR(10),IF('L2-B TS1-Submission'!H73="★ subs","★ critical sub-items"&amp;CHAR(10),""))&amp;'L2-B TS1-Submission'!J73&amp;" · W"&amp;'L2-B TS1-Submission'!I73)</f>
        <v/>
      </c>
      <c r="D300" s="226">
        <f>IF('L2-B TS1-Submission'!I73=0,"— Not scored",IF('L2-B TS1-Submission'!J73="Tier",IF('L2-B TS1-Submission'!M73="Fully integrated","✓ FULLY INTEGRATED",IF('L2-B TS1-Submission'!M73="Not Met","✗ NOT MET",IF('L2-B TS1-Submission'!M73="Not Tested","○ NOT TESTED","◐ "&amp;UPPER('L2-B TS1-Submission'!M73)))),IF('L2-B TS1-Submission'!M73="Met","✓ MET",IF('L2-B TS1-Submission'!M73="Not Met","✗ NOT MET",IF('L2-B TS1-Submission'!M73="N/A","— N/A",IF('L2-B TS1-Submission'!M73="Counted",IF(AND('L2-B TS1-Submission'!N73&gt;=1,'L2-B TS1-Submission'!S73=0),"✓ MET",IF('L2-B TS1-Submission'!J73="All-or-nothing","✗ NOT MET",IF('L2-B TS1-Submission'!S73=1,"✗ NOT MET (★)","◐ PARTIAL")))&amp;CHAR(10)&amp;"("&amp;'L2-B TS1-Submission'!L73&amp;" of "&amp;'L2-B TS1-Submission'!K73&amp;")","○ NOT TESTED"))))))</f>
        <v/>
      </c>
      <c r="E300" s="241">
        <f>IF('L2-B TS1-Submission'!N73="","—",'L2-B TS1-Submission'!N73)</f>
        <v/>
      </c>
      <c r="F300" s="223">
        <f>'L2-B TS1-Submission'!O73&amp;IF('L2-B TS1-Submission'!P73&lt;&gt;"",CHAR(10)&amp;"Notes: "&amp;'L2-B TS1-Submission'!P73,"")</f>
        <v/>
      </c>
    </row>
    <row r="301" ht="88" customHeight="1" s="125">
      <c r="A301" s="242" t="n"/>
      <c r="B301" s="243">
        <f>"Developer's Guide: "&amp;IFERROR(LEFT('L2-B TS1-Submission'!D73,FIND(CHAR(10)&amp;CHAR(10)&amp;"Purpose:",'L2-B TS1-Submission'!D73)-1),'L2-B TS1-Submission'!D73)</f>
        <v/>
      </c>
      <c r="C301" s="243">
        <f>"Validator's Guide: "&amp;'L2-B TS1-Submission'!E73&amp;CHAR(10)&amp;"Evidence: "&amp;'L2-B TS1-Submission'!F73</f>
        <v/>
      </c>
      <c r="D301" s="203" t="n"/>
      <c r="E301" s="203" t="n"/>
      <c r="F301" s="204" t="n"/>
    </row>
    <row r="302" ht="16" customHeight="1" s="125">
      <c r="A302" s="244">
        <f>'L2-B TS1-Submission'!A74</f>
        <v/>
      </c>
      <c r="B302" s="245">
        <f>"   ↳  "&amp;IF('L2-B TS1-Submission'!H74="Yes","★ ","")&amp;'L2-B TS1-Submission'!C74</f>
        <v/>
      </c>
      <c r="C302" s="204" t="n"/>
      <c r="D302" s="240">
        <f>IF('L2-B TS1-Submission'!M74="Met","✓ Met",IF('L2-B TS1-Submission'!M74="Not Met","✗ Not met",IF('L2-B TS1-Submission'!M74="N/A","— N/A","○ Not tested")))</f>
        <v/>
      </c>
      <c r="E302" s="245" t="n"/>
      <c r="F302" s="245">
        <f>IF('L2-B TS1-Submission'!P74&lt;&gt;"",'L2-B TS1-Submission'!P74,"")</f>
        <v/>
      </c>
    </row>
    <row r="303" ht="16" customHeight="1" s="125">
      <c r="A303" s="244">
        <f>'L2-B TS1-Submission'!A75</f>
        <v/>
      </c>
      <c r="B303" s="245">
        <f>"   ↳  "&amp;IF('L2-B TS1-Submission'!H75="Yes","★ ","")&amp;'L2-B TS1-Submission'!C75</f>
        <v/>
      </c>
      <c r="C303" s="204" t="n"/>
      <c r="D303" s="240">
        <f>IF('L2-B TS1-Submission'!M75="Met","✓ Met",IF('L2-B TS1-Submission'!M75="Not Met","✗ Not met",IF('L2-B TS1-Submission'!M75="N/A","— N/A","○ Not tested")))</f>
        <v/>
      </c>
      <c r="E303" s="245" t="n"/>
      <c r="F303" s="245">
        <f>IF('L2-B TS1-Submission'!P75&lt;&gt;"",'L2-B TS1-Submission'!P75,"")</f>
        <v/>
      </c>
    </row>
    <row r="304" ht="29" customHeight="1" s="125">
      <c r="A304" s="244">
        <f>'L2-B TS1-Submission'!A76</f>
        <v/>
      </c>
      <c r="B304" s="245">
        <f>"   ↳  "&amp;IF('L2-B TS1-Submission'!H76="Yes","★ ","")&amp;'L2-B TS1-Submission'!C76</f>
        <v/>
      </c>
      <c r="C304" s="204" t="n"/>
      <c r="D304" s="240">
        <f>IF('L2-B TS1-Submission'!M76="Met","✓ Met",IF('L2-B TS1-Submission'!M76="Not Met","✗ Not met",IF('L2-B TS1-Submission'!M76="N/A","— N/A","○ Not tested")))</f>
        <v/>
      </c>
      <c r="E304" s="245" t="n"/>
      <c r="F304" s="245">
        <f>IF('L2-B TS1-Submission'!P76&lt;&gt;"",'L2-B TS1-Submission'!P76,"")</f>
        <v/>
      </c>
    </row>
    <row r="305" ht="16" customHeight="1" s="125">
      <c r="A305" s="244">
        <f>'L2-B TS1-Submission'!A77</f>
        <v/>
      </c>
      <c r="B305" s="245">
        <f>"   ↳  "&amp;IF('L2-B TS1-Submission'!H77="Yes","★ ","")&amp;'L2-B TS1-Submission'!C77</f>
        <v/>
      </c>
      <c r="C305" s="204" t="n"/>
      <c r="D305" s="240">
        <f>IF('L2-B TS1-Submission'!M77="Met","✓ Met",IF('L2-B TS1-Submission'!M77="Not Met","✗ Not met",IF('L2-B TS1-Submission'!M77="N/A","— N/A","○ Not tested")))</f>
        <v/>
      </c>
      <c r="E305" s="245" t="n"/>
      <c r="F305" s="245">
        <f>IF('L2-B TS1-Submission'!P77&lt;&gt;"",'L2-B TS1-Submission'!P77,"")</f>
        <v/>
      </c>
    </row>
    <row r="306" ht="29" customHeight="1" s="125">
      <c r="A306" s="244">
        <f>'L2-B TS1-Submission'!A78</f>
        <v/>
      </c>
      <c r="B306" s="245">
        <f>"   ↳  "&amp;IF('L2-B TS1-Submission'!H78="Yes","★ ","")&amp;'L2-B TS1-Submission'!C78</f>
        <v/>
      </c>
      <c r="C306" s="204" t="n"/>
      <c r="D306" s="240">
        <f>IF('L2-B TS1-Submission'!M78="Met","✓ Met",IF('L2-B TS1-Submission'!M78="Not Met","✗ Not met",IF('L2-B TS1-Submission'!M78="N/A","— N/A","○ Not tested")))</f>
        <v/>
      </c>
      <c r="E306" s="245" t="n"/>
      <c r="F306" s="245">
        <f>IF('L2-B TS1-Submission'!P78&lt;&gt;"",'L2-B TS1-Submission'!P78,"")</f>
        <v/>
      </c>
    </row>
    <row r="307" ht="29" customHeight="1" s="125">
      <c r="A307" s="244">
        <f>'L2-B TS1-Submission'!A79</f>
        <v/>
      </c>
      <c r="B307" s="245">
        <f>"   ↳  "&amp;IF('L2-B TS1-Submission'!H79="Yes","★ ","")&amp;'L2-B TS1-Submission'!C79</f>
        <v/>
      </c>
      <c r="C307" s="204" t="n"/>
      <c r="D307" s="240">
        <f>IF('L2-B TS1-Submission'!M79="Met","✓ Met",IF('L2-B TS1-Submission'!M79="Not Met","✗ Not met",IF('L2-B TS1-Submission'!M79="N/A","— N/A","○ Not tested")))</f>
        <v/>
      </c>
      <c r="E307" s="245" t="n"/>
      <c r="F307" s="245">
        <f>IF('L2-B TS1-Submission'!P79&lt;&gt;"",'L2-B TS1-Submission'!P79,"")</f>
        <v/>
      </c>
    </row>
    <row r="308" ht="16" customHeight="1" s="125">
      <c r="A308" s="244">
        <f>'L2-B TS1-Submission'!A80</f>
        <v/>
      </c>
      <c r="B308" s="245">
        <f>"   ↳  "&amp;IF('L2-B TS1-Submission'!H80="Yes","★ ","")&amp;'L2-B TS1-Submission'!C80</f>
        <v/>
      </c>
      <c r="C308" s="204" t="n"/>
      <c r="D308" s="240">
        <f>IF('L2-B TS1-Submission'!M80="Met","✓ Met",IF('L2-B TS1-Submission'!M80="Not Met","✗ Not met",IF('L2-B TS1-Submission'!M80="N/A","— N/A","○ Not tested")))</f>
        <v/>
      </c>
      <c r="E308" s="245" t="n"/>
      <c r="F308" s="245">
        <f>IF('L2-B TS1-Submission'!P80&lt;&gt;"",'L2-B TS1-Submission'!P80,"")</f>
        <v/>
      </c>
    </row>
    <row r="309" ht="16" customHeight="1" s="125">
      <c r="A309" s="244">
        <f>'L2-B TS1-Submission'!A81</f>
        <v/>
      </c>
      <c r="B309" s="245">
        <f>"   ↳  "&amp;IF('L2-B TS1-Submission'!H81="Yes","★ ","")&amp;'L2-B TS1-Submission'!C81</f>
        <v/>
      </c>
      <c r="C309" s="204" t="n"/>
      <c r="D309" s="240">
        <f>IF('L2-B TS1-Submission'!M81="Met","✓ Met",IF('L2-B TS1-Submission'!M81="Not Met","✗ Not met",IF('L2-B TS1-Submission'!M81="N/A","— N/A","○ Not tested")))</f>
        <v/>
      </c>
      <c r="E309" s="245" t="n"/>
      <c r="F309" s="245">
        <f>IF('L2-B TS1-Submission'!P81&lt;&gt;"",'L2-B TS1-Submission'!P81,"")</f>
        <v/>
      </c>
    </row>
    <row r="310" ht="16" customHeight="1" s="125">
      <c r="A310" s="244">
        <f>'L2-B TS1-Submission'!A82</f>
        <v/>
      </c>
      <c r="B310" s="245">
        <f>"   ↳  "&amp;IF('L2-B TS1-Submission'!H82="Yes","★ ","")&amp;'L2-B TS1-Submission'!C82</f>
        <v/>
      </c>
      <c r="C310" s="204" t="n"/>
      <c r="D310" s="240">
        <f>IF('L2-B TS1-Submission'!M82="Met","✓ Met",IF('L2-B TS1-Submission'!M82="Not Met","✗ Not met",IF('L2-B TS1-Submission'!M82="N/A","— N/A","○ Not tested")))</f>
        <v/>
      </c>
      <c r="E310" s="245" t="n"/>
      <c r="F310" s="245">
        <f>IF('L2-B TS1-Submission'!P82&lt;&gt;"",'L2-B TS1-Submission'!P82,"")</f>
        <v/>
      </c>
    </row>
    <row r="311" ht="29" customHeight="1" s="125">
      <c r="A311" s="244">
        <f>'L2-B TS1-Submission'!A83</f>
        <v/>
      </c>
      <c r="B311" s="245">
        <f>"   ↳  "&amp;IF('L2-B TS1-Submission'!H83="Yes","★ ","")&amp;'L2-B TS1-Submission'!C83</f>
        <v/>
      </c>
      <c r="C311" s="204" t="n"/>
      <c r="D311" s="240">
        <f>IF('L2-B TS1-Submission'!M83="Met","✓ Met",IF('L2-B TS1-Submission'!M83="Not Met","✗ Not met",IF('L2-B TS1-Submission'!M83="N/A","— N/A","○ Not tested")))</f>
        <v/>
      </c>
      <c r="E311" s="245" t="n"/>
      <c r="F311" s="245">
        <f>IF('L2-B TS1-Submission'!P83&lt;&gt;"",'L2-B TS1-Submission'!P83,"")</f>
        <v/>
      </c>
    </row>
    <row r="312" ht="29" customHeight="1" s="125">
      <c r="A312" s="244">
        <f>'L2-B TS1-Submission'!A84</f>
        <v/>
      </c>
      <c r="B312" s="245">
        <f>"   ↳  "&amp;IF('L2-B TS1-Submission'!H84="Yes","★ ","")&amp;'L2-B TS1-Submission'!C84</f>
        <v/>
      </c>
      <c r="C312" s="204" t="n"/>
      <c r="D312" s="240">
        <f>IF('L2-B TS1-Submission'!M84="Met","✓ Met",IF('L2-B TS1-Submission'!M84="Not Met","✗ Not met",IF('L2-B TS1-Submission'!M84="N/A","— N/A","○ Not tested")))</f>
        <v/>
      </c>
      <c r="E312" s="245" t="n"/>
      <c r="F312" s="245">
        <f>IF('L2-B TS1-Submission'!P84&lt;&gt;"",'L2-B TS1-Submission'!P84,"")</f>
        <v/>
      </c>
    </row>
    <row r="313" ht="16" customHeight="1" s="125">
      <c r="A313" s="244">
        <f>'L2-B TS1-Submission'!A85</f>
        <v/>
      </c>
      <c r="B313" s="245">
        <f>"   ↳  "&amp;IF('L2-B TS1-Submission'!H85="Yes","★ ","")&amp;'L2-B TS1-Submission'!C85</f>
        <v/>
      </c>
      <c r="C313" s="204" t="n"/>
      <c r="D313" s="240">
        <f>IF('L2-B TS1-Submission'!M85="Met","✓ Met",IF('L2-B TS1-Submission'!M85="Not Met","✗ Not met",IF('L2-B TS1-Submission'!M85="N/A","— N/A","○ Not tested")))</f>
        <v/>
      </c>
      <c r="E313" s="245" t="n"/>
      <c r="F313" s="245">
        <f>IF('L2-B TS1-Submission'!P85&lt;&gt;"",'L2-B TS1-Submission'!P85,"")</f>
        <v/>
      </c>
    </row>
    <row r="314" ht="16" customHeight="1" s="125">
      <c r="A314" s="244">
        <f>'L2-B TS1-Submission'!A86</f>
        <v/>
      </c>
      <c r="B314" s="245">
        <f>"   ↳  "&amp;IF('L2-B TS1-Submission'!H86="Yes","★ ","")&amp;'L2-B TS1-Submission'!C86</f>
        <v/>
      </c>
      <c r="C314" s="204" t="n"/>
      <c r="D314" s="240">
        <f>IF('L2-B TS1-Submission'!M86="Met","✓ Met",IF('L2-B TS1-Submission'!M86="Not Met","✗ Not met",IF('L2-B TS1-Submission'!M86="N/A","— N/A","○ Not tested")))</f>
        <v/>
      </c>
      <c r="E314" s="245" t="n"/>
      <c r="F314" s="245">
        <f>IF('L2-B TS1-Submission'!P86&lt;&gt;"",'L2-B TS1-Submission'!P86,"")</f>
        <v/>
      </c>
    </row>
    <row r="315" ht="56" customHeight="1" s="125">
      <c r="A315" s="238">
        <f>'L2-B TS1-Submission'!A87</f>
        <v/>
      </c>
      <c r="B315" s="239">
        <f>'L2-B TS1-Submission'!C87&amp;CHAR(10)&amp;"["&amp;'L2-B TS1-Submission'!B87&amp;" · "&amp;'L2-B TS1-Submission'!G87&amp;"]"</f>
        <v/>
      </c>
      <c r="C315" s="240">
        <f>IF('L2-B TS1-Submission'!I87=0,"Info only",IF('L2-B TS1-Submission'!H87="Yes","★ CRITICAL"&amp;CHAR(10),IF('L2-B TS1-Submission'!H87="★ subs","★ critical sub-items"&amp;CHAR(10),""))&amp;'L2-B TS1-Submission'!J87&amp;" · W"&amp;'L2-B TS1-Submission'!I87)</f>
        <v/>
      </c>
      <c r="D315" s="226">
        <f>IF('L2-B TS1-Submission'!I87=0,"— Not scored",IF('L2-B TS1-Submission'!J87="Tier",IF('L2-B TS1-Submission'!M87="Fully integrated","✓ FULLY INTEGRATED",IF('L2-B TS1-Submission'!M87="Not Met","✗ NOT MET",IF('L2-B TS1-Submission'!M87="Not Tested","○ NOT TESTED","◐ "&amp;UPPER('L2-B TS1-Submission'!M87)))),IF('L2-B TS1-Submission'!M87="Met","✓ MET",IF('L2-B TS1-Submission'!M87="Not Met","✗ NOT MET",IF('L2-B TS1-Submission'!M87="N/A","— N/A",IF('L2-B TS1-Submission'!M87="Counted",IF(AND('L2-B TS1-Submission'!N87&gt;=1,'L2-B TS1-Submission'!S87=0),"✓ MET",IF('L2-B TS1-Submission'!J87="All-or-nothing","✗ NOT MET",IF('L2-B TS1-Submission'!S87=1,"✗ NOT MET (★)","◐ PARTIAL")))&amp;CHAR(10)&amp;"("&amp;'L2-B TS1-Submission'!L87&amp;" of "&amp;'L2-B TS1-Submission'!K87&amp;")","○ NOT TESTED"))))))</f>
        <v/>
      </c>
      <c r="E315" s="241">
        <f>IF('L2-B TS1-Submission'!N87="","—",'L2-B TS1-Submission'!N87)</f>
        <v/>
      </c>
      <c r="F315" s="223">
        <f>'L2-B TS1-Submission'!O87&amp;IF('L2-B TS1-Submission'!P87&lt;&gt;"",CHAR(10)&amp;"Notes: "&amp;'L2-B TS1-Submission'!P87,"")</f>
        <v/>
      </c>
    </row>
    <row r="316" ht="124" customHeight="1" s="125">
      <c r="A316" s="242" t="n"/>
      <c r="B316" s="243">
        <f>"Developer's Guide: "&amp;IFERROR(LEFT('L2-B TS1-Submission'!D87,FIND(CHAR(10)&amp;CHAR(10)&amp;"Purpose:",'L2-B TS1-Submission'!D87)-1),'L2-B TS1-Submission'!D87)</f>
        <v/>
      </c>
      <c r="C316" s="243">
        <f>"Validator's Guide: "&amp;'L2-B TS1-Submission'!E87&amp;CHAR(10)&amp;"Evidence: "&amp;'L2-B TS1-Submission'!F87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"&amp;TEXT('L2-C TS2-Retrieval'!D4,"0.0%")&amp;"  ·  Threshold: "&amp;TEXT('L2-C TS2-Retrieval'!D5,"0%")&amp;"  ·  Critical not met: "&amp;'L2-C TS2-Retrieval'!D6&amp;"  ·  Not tested: "&amp;'L2-C TS2-Retrieval'!F4&amp;" of "&amp;'L2-C TS2-Retrieval'!F7&amp;"  ·  Status: "&amp;'L2-C TS2-Retrieval'!F6</f>
        <v/>
      </c>
      <c r="B318" s="203" t="n"/>
      <c r="C318" s="203" t="n"/>
      <c r="D318" s="203" t="n"/>
      <c r="E318" s="203" t="n"/>
      <c r="F318" s="204" t="n"/>
    </row>
    <row r="319" ht="56" customHeight="1" s="125">
      <c r="A319" s="238">
        <f>'L2-C TS2-Retrieval'!A10</f>
        <v/>
      </c>
      <c r="B319" s="239">
        <f>'L2-C TS2-Retrieval'!C10&amp;CHAR(10)&amp;"["&amp;'L2-C TS2-Retrieval'!B10&amp;" · "&amp;'L2-C TS2-Retrieval'!G10&amp;"]"</f>
        <v/>
      </c>
      <c r="C319" s="240">
        <f>IF('L2-C TS2-Retrieval'!I10=0,"Info only",IF('L2-C TS2-Retrieval'!H10="Yes","★ CRITICAL"&amp;CHAR(10),IF('L2-C TS2-Retrieval'!H10="★ subs","★ critical sub-items"&amp;CHAR(10),""))&amp;'L2-C TS2-Retrieval'!J10&amp;" · W"&amp;'L2-C TS2-Retrieval'!I10)</f>
        <v/>
      </c>
      <c r="D319" s="226">
        <f>IF('L2-C TS2-Retrieval'!I10=0,"— Not scored",IF('L2-C TS2-Retrieval'!J10="Tier",IF('L2-C TS2-Retrieval'!M10="Fully integrated","✓ FULLY INTEGRATED",IF('L2-C TS2-Retrieval'!M10="Not Met","✗ NOT MET",IF('L2-C TS2-Retrieval'!M10="Not Tested","○ NOT TESTED","◐ "&amp;UPPER('L2-C TS2-Retrieval'!M10)))),IF('L2-C TS2-Retrieval'!M10="Met","✓ MET",IF('L2-C TS2-Retrieval'!M10="Not Met","✗ NOT MET",IF('L2-C TS2-Retrieval'!M10="N/A","— N/A",IF('L2-C TS2-Retrieval'!M10="Counted",IF(AND('L2-C TS2-Retrieval'!N10&gt;=1,'L2-C TS2-Retrieval'!S10=0),"✓ MET",IF('L2-C TS2-Retrieval'!J10="All-or-nothing","✗ NOT MET",IF('L2-C TS2-Retrieval'!S10=1,"✗ NOT MET (★)","◐ PARTIAL")))&amp;CHAR(10)&amp;"("&amp;'L2-C TS2-Retrieval'!L10&amp;" of "&amp;'L2-C TS2-Retrieval'!K10&amp;")","○ NOT TESTED"))))))</f>
        <v/>
      </c>
      <c r="E319" s="241">
        <f>IF('L2-C TS2-Retrieval'!N10="","—",'L2-C TS2-Retrieval'!N10)</f>
        <v/>
      </c>
      <c r="F319" s="223">
        <f>'L2-C TS2-Retrieval'!O10&amp;IF('L2-C TS2-Retrieval'!P10&lt;&gt;"",CHAR(10)&amp;"Notes: "&amp;'L2-C TS2-Retrieval'!P10,"")</f>
        <v/>
      </c>
    </row>
    <row r="320" ht="100" customHeight="1" s="125">
      <c r="A320" s="242" t="n"/>
      <c r="B320" s="243">
        <f>"Developer's Guide: "&amp;IFERROR(LEFT('L2-C TS2-Retrieval'!D10,FIND(CHAR(10)&amp;CHAR(10)&amp;"Purpose:",'L2-C TS2-Retrieval'!D10)-1),'L2-C TS2-Retrieval'!D10)</f>
        <v/>
      </c>
      <c r="C320" s="243">
        <f>"Validator's Guide: "&amp;'L2-C TS2-Retrieval'!E10&amp;CHAR(10)&amp;"Evidence: "&amp;'L2-C TS2-Retrieval'!F10</f>
        <v/>
      </c>
      <c r="D320" s="203" t="n"/>
      <c r="E320" s="203" t="n"/>
      <c r="F320" s="204" t="n"/>
    </row>
    <row r="321" ht="43" customHeight="1" s="125">
      <c r="A321" s="238">
        <f>'L2-C TS2-Retrieval'!A11</f>
        <v/>
      </c>
      <c r="B321" s="239">
        <f>'L2-C TS2-Retrieval'!C11&amp;CHAR(10)&amp;"["&amp;'L2-C TS2-Retrieval'!B11&amp;" · "&amp;'L2-C TS2-Retrieval'!G11&amp;"]"</f>
        <v/>
      </c>
      <c r="C321" s="240">
        <f>IF('L2-C TS2-Retrieval'!I11=0,"Info only",IF('L2-C TS2-Retrieval'!H11="Yes","★ CRITICAL"&amp;CHAR(10),IF('L2-C TS2-Retrieval'!H11="★ subs","★ critical sub-items"&amp;CHAR(10),""))&amp;'L2-C TS2-Retrieval'!J11&amp;" · W"&amp;'L2-C TS2-Retrieval'!I11)</f>
        <v/>
      </c>
      <c r="D321" s="226">
        <f>IF('L2-C TS2-Retrieval'!I11=0,"— Not scored",IF('L2-C TS2-Retrieval'!J11="Tier",IF('L2-C TS2-Retrieval'!M11="Fully integrated","✓ FULLY INTEGRATED",IF('L2-C TS2-Retrieval'!M11="Not Met","✗ NOT MET",IF('L2-C TS2-Retrieval'!M11="Not Tested","○ NOT TESTED","◐ "&amp;UPPER('L2-C TS2-Retrieval'!M11)))),IF('L2-C TS2-Retrieval'!M11="Met","✓ MET",IF('L2-C TS2-Retrieval'!M11="Not Met","✗ NOT MET",IF('L2-C TS2-Retrieval'!M11="N/A","— N/A",IF('L2-C TS2-Retrieval'!M11="Counted",IF(AND('L2-C TS2-Retrieval'!N11&gt;=1,'L2-C TS2-Retrieval'!S11=0),"✓ MET",IF('L2-C TS2-Retrieval'!J11="All-or-nothing","✗ NOT MET",IF('L2-C TS2-Retrieval'!S11=1,"✗ NOT MET (★)","◐ PARTIAL")))&amp;CHAR(10)&amp;"("&amp;'L2-C TS2-Retrieval'!L11&amp;" of "&amp;'L2-C TS2-Retrieval'!K11&amp;")","○ NOT TESTED"))))))</f>
        <v/>
      </c>
      <c r="E321" s="241">
        <f>IF('L2-C TS2-Retrieval'!N11="","—",'L2-C TS2-Retrieval'!N11)</f>
        <v/>
      </c>
      <c r="F321" s="223">
        <f>'L2-C TS2-Retrieval'!O11&amp;IF('L2-C TS2-Retrieval'!P11&lt;&gt;"",CHAR(10)&amp;"Notes: "&amp;'L2-C TS2-Retrieval'!P11,"")</f>
        <v/>
      </c>
    </row>
    <row r="322" ht="196" customHeight="1" s="125">
      <c r="A322" s="242" t="n"/>
      <c r="B322" s="243">
        <f>"Developer's Guide: "&amp;IFERROR(LEFT('L2-C TS2-Retrieval'!D11,FIND(CHAR(10)&amp;CHAR(10)&amp;"Purpose:",'L2-C TS2-Retrieval'!D11)-1),'L2-C TS2-Retrieval'!D11)</f>
        <v/>
      </c>
      <c r="C322" s="243">
        <f>"Validator's Guide: "&amp;'L2-C TS2-Retrieval'!E11&amp;CHAR(10)&amp;"Evidence: "&amp;'L2-C TS2-Retrieval'!F11</f>
        <v/>
      </c>
      <c r="D322" s="203" t="n"/>
      <c r="E322" s="203" t="n"/>
      <c r="F322" s="204" t="n"/>
    </row>
    <row r="323" ht="16" customHeight="1" s="125">
      <c r="A323" s="244">
        <f>'L2-C TS2-Retrieval'!A12</f>
        <v/>
      </c>
      <c r="B323" s="245">
        <f>"   ↳  "&amp;IF('L2-C TS2-Retrieval'!H12="Yes","★ ","")&amp;'L2-C TS2-Retrieval'!C12</f>
        <v/>
      </c>
      <c r="C323" s="204" t="n"/>
      <c r="D323" s="240">
        <f>IF('L2-C TS2-Retrieval'!M12="Met","✓ Met",IF('L2-C TS2-Retrieval'!M12="Not Met","✗ Not met",IF('L2-C TS2-Retrieval'!M12="N/A","— N/A","○ Not tested")))</f>
        <v/>
      </c>
      <c r="E323" s="245" t="n"/>
      <c r="F323" s="245">
        <f>IF('L2-C TS2-Retrieval'!P12&lt;&gt;"",'L2-C TS2-Retrieval'!P12,"")</f>
        <v/>
      </c>
    </row>
    <row r="324" ht="16" customHeight="1" s="125">
      <c r="A324" s="244">
        <f>'L2-C TS2-Retrieval'!A13</f>
        <v/>
      </c>
      <c r="B324" s="245">
        <f>"   ↳  "&amp;IF('L2-C TS2-Retrieval'!H13="Yes","★ ","")&amp;'L2-C TS2-Retrieval'!C13</f>
        <v/>
      </c>
      <c r="C324" s="204" t="n"/>
      <c r="D324" s="240">
        <f>IF('L2-C TS2-Retrieval'!M13="Met","✓ Met",IF('L2-C TS2-Retrieval'!M13="Not Met","✗ Not met",IF('L2-C TS2-Retrieval'!M13="N/A","— N/A","○ Not tested")))</f>
        <v/>
      </c>
      <c r="E324" s="245" t="n"/>
      <c r="F324" s="245">
        <f>IF('L2-C TS2-Retrieval'!P13&lt;&gt;"",'L2-C TS2-Retrieval'!P13,"")</f>
        <v/>
      </c>
    </row>
    <row r="325" ht="16" customHeight="1" s="125">
      <c r="A325" s="244">
        <f>'L2-C TS2-Retrieval'!A14</f>
        <v/>
      </c>
      <c r="B325" s="245">
        <f>"   ↳  "&amp;IF('L2-C TS2-Retrieval'!H14="Yes","★ ","")&amp;'L2-C TS2-Retrieval'!C14</f>
        <v/>
      </c>
      <c r="C325" s="204" t="n"/>
      <c r="D325" s="240">
        <f>IF('L2-C TS2-Retrieval'!M14="Met","✓ Met",IF('L2-C TS2-Retrieval'!M14="Not Met","✗ Not met",IF('L2-C TS2-Retrieval'!M14="N/A","— N/A","○ Not tested")))</f>
        <v/>
      </c>
      <c r="E325" s="245" t="n"/>
      <c r="F325" s="245">
        <f>IF('L2-C TS2-Retrieval'!P14&lt;&gt;"",'L2-C TS2-Retrieval'!P14,"")</f>
        <v/>
      </c>
    </row>
    <row r="326" ht="16" customHeight="1" s="125">
      <c r="A326" s="244">
        <f>'L2-C TS2-Retrieval'!A15</f>
        <v/>
      </c>
      <c r="B326" s="245">
        <f>"   ↳  "&amp;IF('L2-C TS2-Retrieval'!H15="Yes","★ ","")&amp;'L2-C TS2-Retrieval'!C15</f>
        <v/>
      </c>
      <c r="C326" s="204" t="n"/>
      <c r="D326" s="240">
        <f>IF('L2-C TS2-Retrieval'!M15="Met","✓ Met",IF('L2-C TS2-Retrieval'!M15="Not Met","✗ Not met",IF('L2-C TS2-Retrieval'!M15="N/A","— N/A","○ Not tested")))</f>
        <v/>
      </c>
      <c r="E326" s="245" t="n"/>
      <c r="F326" s="245">
        <f>IF('L2-C TS2-Retrieval'!P15&lt;&gt;"",'L2-C TS2-Retrieval'!P15,"")</f>
        <v/>
      </c>
    </row>
    <row r="327" ht="16" customHeight="1" s="125">
      <c r="A327" s="244">
        <f>'L2-C TS2-Retrieval'!A16</f>
        <v/>
      </c>
      <c r="B327" s="245">
        <f>"   ↳  "&amp;IF('L2-C TS2-Retrieval'!H16="Yes","★ ","")&amp;'L2-C TS2-Retrieval'!C16</f>
        <v/>
      </c>
      <c r="C327" s="204" t="n"/>
      <c r="D327" s="240">
        <f>IF('L2-C TS2-Retrieval'!M16="Met","✓ Met",IF('L2-C TS2-Retrieval'!M16="Not Met","✗ Not met",IF('L2-C TS2-Retrieval'!M16="N/A","— N/A","○ Not tested")))</f>
        <v/>
      </c>
      <c r="E327" s="245" t="n"/>
      <c r="F327" s="245">
        <f>IF('L2-C TS2-Retrieval'!P16&lt;&gt;"",'L2-C TS2-Retrieval'!P16,"")</f>
        <v/>
      </c>
    </row>
    <row r="328" ht="16" customHeight="1" s="125">
      <c r="A328" s="244">
        <f>'L2-C TS2-Retrieval'!A17</f>
        <v/>
      </c>
      <c r="B328" s="245">
        <f>"   ↳  "&amp;IF('L2-C TS2-Retrieval'!H17="Yes","★ ","")&amp;'L2-C TS2-Retrieval'!C17</f>
        <v/>
      </c>
      <c r="C328" s="204" t="n"/>
      <c r="D328" s="240">
        <f>IF('L2-C TS2-Retrieval'!M17="Met","✓ Met",IF('L2-C TS2-Retrieval'!M17="Not Met","✗ Not met",IF('L2-C TS2-Retrieval'!M17="N/A","— N/A","○ Not tested")))</f>
        <v/>
      </c>
      <c r="E328" s="245" t="n"/>
      <c r="F328" s="245">
        <f>IF('L2-C TS2-Retrieval'!P17&lt;&gt;"",'L2-C TS2-Retrieval'!P17,"")</f>
        <v/>
      </c>
    </row>
    <row r="329" ht="16" customHeight="1" s="125">
      <c r="A329" s="244">
        <f>'L2-C TS2-Retrieval'!A18</f>
        <v/>
      </c>
      <c r="B329" s="245">
        <f>"   ↳  "&amp;IF('L2-C TS2-Retrieval'!H18="Yes","★ ","")&amp;'L2-C TS2-Retrieval'!C18</f>
        <v/>
      </c>
      <c r="C329" s="204" t="n"/>
      <c r="D329" s="240">
        <f>IF('L2-C TS2-Retrieval'!M18="Met","✓ Met",IF('L2-C TS2-Retrieval'!M18="Not Met","✗ Not met",IF('L2-C TS2-Retrieval'!M18="N/A","— N/A","○ Not tested")))</f>
        <v/>
      </c>
      <c r="E329" s="245" t="n"/>
      <c r="F329" s="245">
        <f>IF('L2-C TS2-Retrieval'!P18&lt;&gt;"",'L2-C TS2-Retrieval'!P18,"")</f>
        <v/>
      </c>
    </row>
    <row r="330" ht="56" customHeight="1" s="125">
      <c r="A330" s="238">
        <f>'L2-C TS2-Retrieval'!A19</f>
        <v/>
      </c>
      <c r="B330" s="239">
        <f>'L2-C TS2-Retrieval'!C19&amp;CHAR(10)&amp;"["&amp;'L2-C TS2-Retrieval'!B19&amp;" · "&amp;'L2-C TS2-Retrieval'!G19&amp;"]"</f>
        <v/>
      </c>
      <c r="C330" s="240">
        <f>IF('L2-C TS2-Retrieval'!I19=0,"Info only",IF('L2-C TS2-Retrieval'!H19="Yes","★ CRITICAL"&amp;CHAR(10),IF('L2-C TS2-Retrieval'!H19="★ subs","★ critical sub-items"&amp;CHAR(10),""))&amp;'L2-C TS2-Retrieval'!J19&amp;" · W"&amp;'L2-C TS2-Retrieval'!I19)</f>
        <v/>
      </c>
      <c r="D330" s="226">
        <f>IF('L2-C TS2-Retrieval'!I19=0,"— Not scored",IF('L2-C TS2-Retrieval'!J19="Tier",IF('L2-C TS2-Retrieval'!M19="Fully integrated","✓ FULLY INTEGRATED",IF('L2-C TS2-Retrieval'!M19="Not Met","✗ NOT MET",IF('L2-C TS2-Retrieval'!M19="Not Tested","○ NOT TESTED","◐ "&amp;UPPER('L2-C TS2-Retrieval'!M19)))),IF('L2-C TS2-Retrieval'!M19="Met","✓ MET",IF('L2-C TS2-Retrieval'!M19="Not Met","✗ NOT MET",IF('L2-C TS2-Retrieval'!M19="N/A","— N/A",IF('L2-C TS2-Retrieval'!M19="Counted",IF(AND('L2-C TS2-Retrieval'!N19&gt;=1,'L2-C TS2-Retrieval'!S19=0),"✓ MET",IF('L2-C TS2-Retrieval'!J19="All-or-nothing","✗ NOT MET",IF('L2-C TS2-Retrieval'!S19=1,"✗ NOT MET (★)","◐ PARTIAL")))&amp;CHAR(10)&amp;"("&amp;'L2-C TS2-Retrieval'!L19&amp;" of "&amp;'L2-C TS2-Retrieval'!K19&amp;")","○ NOT TESTED"))))))</f>
        <v/>
      </c>
      <c r="E330" s="241">
        <f>IF('L2-C TS2-Retrieval'!N19="","—",'L2-C TS2-Retrieval'!N19)</f>
        <v/>
      </c>
      <c r="F330" s="223">
        <f>'L2-C TS2-Retrieval'!O19&amp;IF('L2-C TS2-Retrieval'!P19&lt;&gt;"",CHAR(10)&amp;"Notes: "&amp;'L2-C TS2-Retrieval'!P19,"")</f>
        <v/>
      </c>
    </row>
    <row r="331" ht="196" customHeight="1" s="125">
      <c r="A331" s="242" t="n"/>
      <c r="B331" s="243">
        <f>"Developer's Guide: "&amp;IFERROR(LEFT('L2-C TS2-Retrieval'!D19,FIND(CHAR(10)&amp;CHAR(10)&amp;"Purpose:",'L2-C TS2-Retrieval'!D19)-1),'L2-C TS2-Retrieval'!D19)</f>
        <v/>
      </c>
      <c r="C331" s="243">
        <f>"Validator's Guide: "&amp;'L2-C TS2-Retrieval'!E19&amp;CHAR(10)&amp;"Evidence: "&amp;'L2-C TS2-Retrieval'!F19</f>
        <v/>
      </c>
      <c r="D331" s="203" t="n"/>
      <c r="E331" s="203" t="n"/>
      <c r="F331" s="204" t="n"/>
    </row>
    <row r="332" ht="16" customHeight="1" s="125">
      <c r="A332" s="244">
        <f>'L2-C TS2-Retrieval'!A20</f>
        <v/>
      </c>
      <c r="B332" s="245">
        <f>"   ↳  "&amp;IF('L2-C TS2-Retrieval'!H20="Yes","★ ","")&amp;'L2-C TS2-Retrieval'!C20</f>
        <v/>
      </c>
      <c r="C332" s="204" t="n"/>
      <c r="D332" s="240">
        <f>IF('L2-C TS2-Retrieval'!M20="Met","✓ Met",IF('L2-C TS2-Retrieval'!M20="Not Met","✗ Not met",IF('L2-C TS2-Retrieval'!M20="N/A","— N/A","○ Not tested")))</f>
        <v/>
      </c>
      <c r="E332" s="245" t="n"/>
      <c r="F332" s="245">
        <f>IF('L2-C TS2-Retrieval'!P20&lt;&gt;"",'L2-C TS2-Retrieval'!P20,"")</f>
        <v/>
      </c>
    </row>
    <row r="333" ht="16" customHeight="1" s="125">
      <c r="A333" s="244">
        <f>'L2-C TS2-Retrieval'!A21</f>
        <v/>
      </c>
      <c r="B333" s="245">
        <f>"   ↳  "&amp;IF('L2-C TS2-Retrieval'!H21="Yes","★ ","")&amp;'L2-C TS2-Retrieval'!C21</f>
        <v/>
      </c>
      <c r="C333" s="204" t="n"/>
      <c r="D333" s="240">
        <f>IF('L2-C TS2-Retrieval'!M21="Met","✓ Met",IF('L2-C TS2-Retrieval'!M21="Not Met","✗ Not met",IF('L2-C TS2-Retrieval'!M21="N/A","— N/A","○ Not tested")))</f>
        <v/>
      </c>
      <c r="E333" s="245" t="n"/>
      <c r="F333" s="245">
        <f>IF('L2-C TS2-Retrieval'!P21&lt;&gt;"",'L2-C TS2-Retrieval'!P21,"")</f>
        <v/>
      </c>
    </row>
    <row r="334" ht="29" customHeight="1" s="125">
      <c r="A334" s="244">
        <f>'L2-C TS2-Retrieval'!A22</f>
        <v/>
      </c>
      <c r="B334" s="245">
        <f>"   ↳  "&amp;IF('L2-C TS2-Retrieval'!H22="Yes","★ ","")&amp;'L2-C TS2-Retrieval'!C22</f>
        <v/>
      </c>
      <c r="C334" s="204" t="n"/>
      <c r="D334" s="240">
        <f>IF('L2-C TS2-Retrieval'!M22="Met","✓ Met",IF('L2-C TS2-Retrieval'!M22="Not Met","✗ Not met",IF('L2-C TS2-Retrieval'!M22="N/A","— N/A","○ Not tested")))</f>
        <v/>
      </c>
      <c r="E334" s="245" t="n"/>
      <c r="F334" s="245">
        <f>IF('L2-C TS2-Retrieval'!P22&lt;&gt;"",'L2-C TS2-Retrieval'!P22,"")</f>
        <v/>
      </c>
    </row>
    <row r="335" ht="43" customHeight="1" s="125">
      <c r="A335" s="238">
        <f>'L2-C TS2-Retrieval'!A23</f>
        <v/>
      </c>
      <c r="B335" s="239">
        <f>'L2-C TS2-Retrieval'!C23&amp;CHAR(10)&amp;"["&amp;'L2-C TS2-Retrieval'!B23&amp;" · "&amp;'L2-C TS2-Retrieval'!G23&amp;"]"</f>
        <v/>
      </c>
      <c r="C335" s="240">
        <f>IF('L2-C TS2-Retrieval'!I23=0,"Info only",IF('L2-C TS2-Retrieval'!H23="Yes","★ CRITICAL"&amp;CHAR(10),IF('L2-C TS2-Retrieval'!H23="★ subs","★ critical sub-items"&amp;CHAR(10),""))&amp;'L2-C TS2-Retrieval'!J23&amp;" · W"&amp;'L2-C TS2-Retrieval'!I23)</f>
        <v/>
      </c>
      <c r="D335" s="226">
        <f>IF('L2-C TS2-Retrieval'!I23=0,"— Not scored",IF('L2-C TS2-Retrieval'!J23="Tier",IF('L2-C TS2-Retrieval'!M23="Fully integrated","✓ FULLY INTEGRATED",IF('L2-C TS2-Retrieval'!M23="Not Met","✗ NOT MET",IF('L2-C TS2-Retrieval'!M23="Not Tested","○ NOT TESTED","◐ "&amp;UPPER('L2-C TS2-Retrieval'!M23)))),IF('L2-C TS2-Retrieval'!M23="Met","✓ MET",IF('L2-C TS2-Retrieval'!M23="Not Met","✗ NOT MET",IF('L2-C TS2-Retrieval'!M23="N/A","— N/A",IF('L2-C TS2-Retrieval'!M23="Counted",IF(AND('L2-C TS2-Retrieval'!N23&gt;=1,'L2-C TS2-Retrieval'!S23=0),"✓ MET",IF('L2-C TS2-Retrieval'!J23="All-or-nothing","✗ NOT MET",IF('L2-C TS2-Retrieval'!S23=1,"✗ NOT MET (★)","◐ PARTIAL")))&amp;CHAR(10)&amp;"("&amp;'L2-C TS2-Retrieval'!L23&amp;" of "&amp;'L2-C TS2-Retrieval'!K23&amp;")","○ NOT TESTED"))))))</f>
        <v/>
      </c>
      <c r="E335" s="241">
        <f>IF('L2-C TS2-Retrieval'!N23="","—",'L2-C TS2-Retrieval'!N23)</f>
        <v/>
      </c>
      <c r="F335" s="223">
        <f>'L2-C TS2-Retrieval'!O23&amp;IF('L2-C TS2-Retrieval'!P23&lt;&gt;"",CHAR(10)&amp;"Notes: "&amp;'L2-C TS2-Retrieval'!P23,"")</f>
        <v/>
      </c>
    </row>
    <row r="336" ht="196" customHeight="1" s="125">
      <c r="A336" s="242" t="n"/>
      <c r="B336" s="243">
        <f>"Developer's Guide: "&amp;IFERROR(LEFT('L2-C TS2-Retrieval'!D23,FIND(CHAR(10)&amp;CHAR(10)&amp;"Purpose:",'L2-C TS2-Retrieval'!D23)-1),'L2-C TS2-Retrieval'!D23)</f>
        <v/>
      </c>
      <c r="C336" s="243">
        <f>"Validator's Guide: "&amp;'L2-C TS2-Retrieval'!E23&amp;CHAR(10)&amp;"Evidence: "&amp;'L2-C TS2-Retrieval'!F23</f>
        <v/>
      </c>
      <c r="D336" s="203" t="n"/>
      <c r="E336" s="203" t="n"/>
      <c r="F336" s="204" t="n"/>
    </row>
    <row r="337" ht="16" customHeight="1" s="125">
      <c r="A337" s="244">
        <f>'L2-C TS2-Retrieval'!A24</f>
        <v/>
      </c>
      <c r="B337" s="245">
        <f>"   ↳  "&amp;IF('L2-C TS2-Retrieval'!H24="Yes","★ ","")&amp;'L2-C TS2-Retrieval'!C24</f>
        <v/>
      </c>
      <c r="C337" s="204" t="n"/>
      <c r="D337" s="240">
        <f>IF('L2-C TS2-Retrieval'!M24="Met","✓ Met",IF('L2-C TS2-Retrieval'!M24="Not Met","✗ Not met",IF('L2-C TS2-Retrieval'!M24="N/A","— N/A","○ Not tested")))</f>
        <v/>
      </c>
      <c r="E337" s="245" t="n"/>
      <c r="F337" s="245">
        <f>IF('L2-C TS2-Retrieval'!P24&lt;&gt;"",'L2-C TS2-Retrieval'!P24,"")</f>
        <v/>
      </c>
    </row>
    <row r="338" ht="16" customHeight="1" s="125">
      <c r="A338" s="244">
        <f>'L2-C TS2-Retrieval'!A25</f>
        <v/>
      </c>
      <c r="B338" s="245">
        <f>"   ↳  "&amp;IF('L2-C TS2-Retrieval'!H25="Yes","★ ","")&amp;'L2-C TS2-Retrieval'!C25</f>
        <v/>
      </c>
      <c r="C338" s="204" t="n"/>
      <c r="D338" s="240">
        <f>IF('L2-C TS2-Retrieval'!M25="Met","✓ Met",IF('L2-C TS2-Retrieval'!M25="Not Met","✗ Not met",IF('L2-C TS2-Retrieval'!M25="N/A","— N/A","○ Not tested")))</f>
        <v/>
      </c>
      <c r="E338" s="245" t="n"/>
      <c r="F338" s="245">
        <f>IF('L2-C TS2-Retrieval'!P25&lt;&gt;"",'L2-C TS2-Retrieval'!P25,"")</f>
        <v/>
      </c>
    </row>
    <row r="339" ht="16" customHeight="1" s="125">
      <c r="A339" s="244">
        <f>'L2-C TS2-Retrieval'!A26</f>
        <v/>
      </c>
      <c r="B339" s="245">
        <f>"   ↳  "&amp;IF('L2-C TS2-Retrieval'!H26="Yes","★ ","")&amp;'L2-C TS2-Retrieval'!C26</f>
        <v/>
      </c>
      <c r="C339" s="204" t="n"/>
      <c r="D339" s="240">
        <f>IF('L2-C TS2-Retrieval'!M26="Met","✓ Met",IF('L2-C TS2-Retrieval'!M26="Not Met","✗ Not met",IF('L2-C TS2-Retrieval'!M26="N/A","— N/A","○ Not tested")))</f>
        <v/>
      </c>
      <c r="E339" s="245" t="n"/>
      <c r="F339" s="245">
        <f>IF('L2-C TS2-Retrieval'!P26&lt;&gt;"",'L2-C TS2-Retrieval'!P26,"")</f>
        <v/>
      </c>
    </row>
    <row r="340" ht="16" customHeight="1" s="125">
      <c r="A340" s="244">
        <f>'L2-C TS2-Retrieval'!A27</f>
        <v/>
      </c>
      <c r="B340" s="245">
        <f>"   ↳  "&amp;IF('L2-C TS2-Retrieval'!H27="Yes","★ ","")&amp;'L2-C TS2-Retrieval'!C27</f>
        <v/>
      </c>
      <c r="C340" s="204" t="n"/>
      <c r="D340" s="240">
        <f>IF('L2-C TS2-Retrieval'!M27="Met","✓ Met",IF('L2-C TS2-Retrieval'!M27="Not Met","✗ Not met",IF('L2-C TS2-Retrieval'!M27="N/A","— N/A","○ Not tested")))</f>
        <v/>
      </c>
      <c r="E340" s="245" t="n"/>
      <c r="F340" s="245">
        <f>IF('L2-C TS2-Retrieval'!P27&lt;&gt;"",'L2-C TS2-Retrieval'!P27,"")</f>
        <v/>
      </c>
    </row>
    <row r="341" ht="29" customHeight="1" s="125">
      <c r="A341" s="244">
        <f>'L2-C TS2-Retrieval'!A28</f>
        <v/>
      </c>
      <c r="B341" s="245">
        <f>"   ↳  "&amp;IF('L2-C TS2-Retrieval'!H28="Yes","★ ","")&amp;'L2-C TS2-Retrieval'!C28</f>
        <v/>
      </c>
      <c r="C341" s="204" t="n"/>
      <c r="D341" s="240">
        <f>IF('L2-C TS2-Retrieval'!M28="Met","✓ Met",IF('L2-C TS2-Retrieval'!M28="Not Met","✗ Not met",IF('L2-C TS2-Retrieval'!M28="N/A","— N/A","○ Not tested")))</f>
        <v/>
      </c>
      <c r="E341" s="245" t="n"/>
      <c r="F341" s="245">
        <f>IF('L2-C TS2-Retrieval'!P28&lt;&gt;"",'L2-C TS2-Retrieval'!P28,"")</f>
        <v/>
      </c>
    </row>
    <row r="342" ht="16" customHeight="1" s="125">
      <c r="A342" s="244">
        <f>'L2-C TS2-Retrieval'!A29</f>
        <v/>
      </c>
      <c r="B342" s="245">
        <f>"   ↳  "&amp;IF('L2-C TS2-Retrieval'!H29="Yes","★ ","")&amp;'L2-C TS2-Retrieval'!C29</f>
        <v/>
      </c>
      <c r="C342" s="204" t="n"/>
      <c r="D342" s="240">
        <f>IF('L2-C TS2-Retrieval'!M29="Met","✓ Met",IF('L2-C TS2-Retrieval'!M29="Not Met","✗ Not met",IF('L2-C TS2-Retrieval'!M29="N/A","— N/A","○ Not tested")))</f>
        <v/>
      </c>
      <c r="E342" s="245" t="n"/>
      <c r="F342" s="245">
        <f>IF('L2-C TS2-Retrieval'!P29&lt;&gt;"",'L2-C TS2-Retrieval'!P29,"")</f>
        <v/>
      </c>
    </row>
    <row r="343" ht="16" customHeight="1" s="125">
      <c r="A343" s="244">
        <f>'L2-C TS2-Retrieval'!A30</f>
        <v/>
      </c>
      <c r="B343" s="245">
        <f>"   ↳  "&amp;IF('L2-C TS2-Retrieval'!H30="Yes","★ ","")&amp;'L2-C TS2-Retrieval'!C30</f>
        <v/>
      </c>
      <c r="C343" s="204" t="n"/>
      <c r="D343" s="240">
        <f>IF('L2-C TS2-Retrieval'!M30="Met","✓ Met",IF('L2-C TS2-Retrieval'!M30="Not Met","✗ Not met",IF('L2-C TS2-Retrieval'!M30="N/A","— N/A","○ Not tested")))</f>
        <v/>
      </c>
      <c r="E343" s="245" t="n"/>
      <c r="F343" s="245">
        <f>IF('L2-C TS2-Retrieval'!P30&lt;&gt;"",'L2-C TS2-Retrieval'!P30,"")</f>
        <v/>
      </c>
    </row>
    <row r="344" ht="16" customHeight="1" s="125">
      <c r="A344" s="244">
        <f>'L2-C TS2-Retrieval'!A31</f>
        <v/>
      </c>
      <c r="B344" s="245">
        <f>"   ↳  "&amp;IF('L2-C TS2-Retrieval'!H31="Yes","★ ","")&amp;'L2-C TS2-Retrieval'!C31</f>
        <v/>
      </c>
      <c r="C344" s="204" t="n"/>
      <c r="D344" s="240">
        <f>IF('L2-C TS2-Retrieval'!M31="Met","✓ Met",IF('L2-C TS2-Retrieval'!M31="Not Met","✗ Not met",IF('L2-C TS2-Retrieval'!M31="N/A","— N/A","○ Not tested")))</f>
        <v/>
      </c>
      <c r="E344" s="245" t="n"/>
      <c r="F344" s="245">
        <f>IF('L2-C TS2-Retrieval'!P31&lt;&gt;"",'L2-C TS2-Retrieval'!P31,"")</f>
        <v/>
      </c>
    </row>
    <row r="345" ht="16" customHeight="1" s="125">
      <c r="A345" s="244">
        <f>'L2-C TS2-Retrieval'!A32</f>
        <v/>
      </c>
      <c r="B345" s="245">
        <f>"   ↳  "&amp;IF('L2-C TS2-Retrieval'!H32="Yes","★ ","")&amp;'L2-C TS2-Retrieval'!C32</f>
        <v/>
      </c>
      <c r="C345" s="204" t="n"/>
      <c r="D345" s="240">
        <f>IF('L2-C TS2-Retrieval'!M32="Met","✓ Met",IF('L2-C TS2-Retrieval'!M32="Not Met","✗ Not met",IF('L2-C TS2-Retrieval'!M32="N/A","— N/A","○ Not tested")))</f>
        <v/>
      </c>
      <c r="E345" s="245" t="n"/>
      <c r="F345" s="245">
        <f>IF('L2-C TS2-Retrieval'!P32&lt;&gt;"",'L2-C TS2-Retrieval'!P32,"")</f>
        <v/>
      </c>
    </row>
    <row r="346" ht="16" customHeight="1" s="125">
      <c r="A346" s="244">
        <f>'L2-C TS2-Retrieval'!A33</f>
        <v/>
      </c>
      <c r="B346" s="245">
        <f>"   ↳  "&amp;IF('L2-C TS2-Retrieval'!H33="Yes","★ ","")&amp;'L2-C TS2-Retrieval'!C33</f>
        <v/>
      </c>
      <c r="C346" s="204" t="n"/>
      <c r="D346" s="240">
        <f>IF('L2-C TS2-Retrieval'!M33="Met","✓ Met",IF('L2-C TS2-Retrieval'!M33="Not Met","✗ Not met",IF('L2-C TS2-Retrieval'!M33="N/A","— N/A","○ Not tested")))</f>
        <v/>
      </c>
      <c r="E346" s="245" t="n"/>
      <c r="F346" s="245">
        <f>IF('L2-C TS2-Retrieval'!P33&lt;&gt;"",'L2-C TS2-Retrieval'!P33,"")</f>
        <v/>
      </c>
    </row>
    <row r="347" ht="16" customHeight="1" s="125">
      <c r="A347" s="244">
        <f>'L2-C TS2-Retrieval'!A34</f>
        <v/>
      </c>
      <c r="B347" s="245">
        <f>"   ↳  "&amp;IF('L2-C TS2-Retrieval'!H34="Yes","★ ","")&amp;'L2-C TS2-Retrieval'!C34</f>
        <v/>
      </c>
      <c r="C347" s="204" t="n"/>
      <c r="D347" s="240">
        <f>IF('L2-C TS2-Retrieval'!M34="Met","✓ Met",IF('L2-C TS2-Retrieval'!M34="Not Met","✗ Not met",IF('L2-C TS2-Retrieval'!M34="N/A","— N/A","○ Not tested")))</f>
        <v/>
      </c>
      <c r="E347" s="245" t="n"/>
      <c r="F347" s="245">
        <f>IF('L2-C TS2-Retrieval'!P34&lt;&gt;"",'L2-C TS2-Retrieval'!P34,"")</f>
        <v/>
      </c>
    </row>
    <row r="348" ht="43" customHeight="1" s="125">
      <c r="A348" s="238">
        <f>'L2-C TS2-Retrieval'!A35</f>
        <v/>
      </c>
      <c r="B348" s="239">
        <f>'L2-C TS2-Retrieval'!C35&amp;CHAR(10)&amp;"["&amp;'L2-C TS2-Retrieval'!B35&amp;" · "&amp;'L2-C TS2-Retrieval'!G35&amp;"]"</f>
        <v/>
      </c>
      <c r="C348" s="240">
        <f>IF('L2-C TS2-Retrieval'!I35=0,"Info only",IF('L2-C TS2-Retrieval'!H35="Yes","★ CRITICAL"&amp;CHAR(10),IF('L2-C TS2-Retrieval'!H35="★ subs","★ critical sub-items"&amp;CHAR(10),""))&amp;'L2-C TS2-Retrieval'!J35&amp;" · W"&amp;'L2-C TS2-Retrieval'!I35)</f>
        <v/>
      </c>
      <c r="D348" s="226">
        <f>IF('L2-C TS2-Retrieval'!I35=0,"— Not scored",IF('L2-C TS2-Retrieval'!J35="Tier",IF('L2-C TS2-Retrieval'!M35="Fully integrated","✓ FULLY INTEGRATED",IF('L2-C TS2-Retrieval'!M35="Not Met","✗ NOT MET",IF('L2-C TS2-Retrieval'!M35="Not Tested","○ NOT TESTED","◐ "&amp;UPPER('L2-C TS2-Retrieval'!M35)))),IF('L2-C TS2-Retrieval'!M35="Met","✓ MET",IF('L2-C TS2-Retrieval'!M35="Not Met","✗ NOT MET",IF('L2-C TS2-Retrieval'!M35="N/A","— N/A",IF('L2-C TS2-Retrieval'!M35="Counted",IF(AND('L2-C TS2-Retrieval'!N35&gt;=1,'L2-C TS2-Retrieval'!S35=0),"✓ MET",IF('L2-C TS2-Retrieval'!J35="All-or-nothing","✗ NOT MET",IF('L2-C TS2-Retrieval'!S35=1,"✗ NOT MET (★)","◐ PARTIAL")))&amp;CHAR(10)&amp;"("&amp;'L2-C TS2-Retrieval'!L35&amp;" of "&amp;'L2-C TS2-Retrieval'!K35&amp;")","○ NOT TESTED"))))))</f>
        <v/>
      </c>
      <c r="E348" s="241">
        <f>IF('L2-C TS2-Retrieval'!N35="","—",'L2-C TS2-Retrieval'!N35)</f>
        <v/>
      </c>
      <c r="F348" s="223">
        <f>'L2-C TS2-Retrieval'!O35&amp;IF('L2-C TS2-Retrieval'!P35&lt;&gt;"",CHAR(10)&amp;"Notes: "&amp;'L2-C TS2-Retrieval'!P35,"")</f>
        <v/>
      </c>
    </row>
    <row r="349" ht="196" customHeight="1" s="125">
      <c r="A349" s="242" t="n"/>
      <c r="B349" s="243">
        <f>"Developer's Guide: "&amp;IFERROR(LEFT('L2-C TS2-Retrieval'!D35,FIND(CHAR(10)&amp;CHAR(10)&amp;"Purpose:",'L2-C TS2-Retrieval'!D35)-1),'L2-C TS2-Retrieval'!D35)</f>
        <v/>
      </c>
      <c r="C349" s="243">
        <f>"Validator's Guide: "&amp;'L2-C TS2-Retrieval'!E35&amp;CHAR(10)&amp;"Evidence: "&amp;'L2-C TS2-Retrieval'!F35</f>
        <v/>
      </c>
      <c r="D349" s="203" t="n"/>
      <c r="E349" s="203" t="n"/>
      <c r="F349" s="204" t="n"/>
    </row>
    <row r="350" ht="16" customHeight="1" s="125">
      <c r="A350" s="244">
        <f>'L2-C TS2-Retrieval'!A36</f>
        <v/>
      </c>
      <c r="B350" s="245">
        <f>"   ↳  "&amp;IF('L2-C TS2-Retrieval'!H36="Yes","★ ","")&amp;'L2-C TS2-Retrieval'!C36</f>
        <v/>
      </c>
      <c r="C350" s="204" t="n"/>
      <c r="D350" s="240">
        <f>IF('L2-C TS2-Retrieval'!M36="Met","✓ Met",IF('L2-C TS2-Retrieval'!M36="Not Met","✗ Not met",IF('L2-C TS2-Retrieval'!M36="N/A","— N/A","○ Not tested")))</f>
        <v/>
      </c>
      <c r="E350" s="245" t="n"/>
      <c r="F350" s="245">
        <f>IF('L2-C TS2-Retrieval'!P36&lt;&gt;"",'L2-C TS2-Retrieval'!P36,"")</f>
        <v/>
      </c>
    </row>
    <row r="351" ht="16" customHeight="1" s="125">
      <c r="A351" s="244">
        <f>'L2-C TS2-Retrieval'!A37</f>
        <v/>
      </c>
      <c r="B351" s="245">
        <f>"   ↳  "&amp;IF('L2-C TS2-Retrieval'!H37="Yes","★ ","")&amp;'L2-C TS2-Retrieval'!C37</f>
        <v/>
      </c>
      <c r="C351" s="204" t="n"/>
      <c r="D351" s="240">
        <f>IF('L2-C TS2-Retrieval'!M37="Met","✓ Met",IF('L2-C TS2-Retrieval'!M37="Not Met","✗ Not met",IF('L2-C TS2-Retrieval'!M37="N/A","— N/A","○ Not tested")))</f>
        <v/>
      </c>
      <c r="E351" s="245" t="n"/>
      <c r="F351" s="245">
        <f>IF('L2-C TS2-Retrieval'!P37&lt;&gt;"",'L2-C TS2-Retrieval'!P37,"")</f>
        <v/>
      </c>
    </row>
    <row r="352" ht="16" customHeight="1" s="125">
      <c r="A352" s="244">
        <f>'L2-C TS2-Retrieval'!A38</f>
        <v/>
      </c>
      <c r="B352" s="245">
        <f>"   ↳  "&amp;IF('L2-C TS2-Retrieval'!H38="Yes","★ ","")&amp;'L2-C TS2-Retrieval'!C38</f>
        <v/>
      </c>
      <c r="C352" s="204" t="n"/>
      <c r="D352" s="240">
        <f>IF('L2-C TS2-Retrieval'!M38="Met","✓ Met",IF('L2-C TS2-Retrieval'!M38="Not Met","✗ Not met",IF('L2-C TS2-Retrieval'!M38="N/A","— N/A","○ Not tested")))</f>
        <v/>
      </c>
      <c r="E352" s="245" t="n"/>
      <c r="F352" s="245">
        <f>IF('L2-C TS2-Retrieval'!P38&lt;&gt;"",'L2-C TS2-Retrieval'!P38,"")</f>
        <v/>
      </c>
    </row>
    <row r="353" ht="16" customHeight="1" s="125">
      <c r="A353" s="244">
        <f>'L2-C TS2-Retrieval'!A39</f>
        <v/>
      </c>
      <c r="B353" s="245">
        <f>"   ↳  "&amp;IF('L2-C TS2-Retrieval'!H39="Yes","★ ","")&amp;'L2-C TS2-Retrieval'!C39</f>
        <v/>
      </c>
      <c r="C353" s="204" t="n"/>
      <c r="D353" s="240">
        <f>IF('L2-C TS2-Retrieval'!M39="Met","✓ Met",IF('L2-C TS2-Retrieval'!M39="Not Met","✗ Not met",IF('L2-C TS2-Retrieval'!M39="N/A","— N/A","○ Not tested")))</f>
        <v/>
      </c>
      <c r="E353" s="245" t="n"/>
      <c r="F353" s="245">
        <f>IF('L2-C TS2-Retrieval'!P39&lt;&gt;"",'L2-C TS2-Retrieval'!P39,"")</f>
        <v/>
      </c>
    </row>
    <row r="354" ht="43" customHeight="1" s="125">
      <c r="A354" s="238">
        <f>'L2-C TS2-Retrieval'!A40</f>
        <v/>
      </c>
      <c r="B354" s="239">
        <f>'L2-C TS2-Retrieval'!C40&amp;CHAR(10)&amp;"["&amp;'L2-C TS2-Retrieval'!B40&amp;" · "&amp;'L2-C TS2-Retrieval'!G40&amp;"]"</f>
        <v/>
      </c>
      <c r="C354" s="240">
        <f>IF('L2-C TS2-Retrieval'!I40=0,"Info only",IF('L2-C TS2-Retrieval'!H40="Yes","★ CRITICAL"&amp;CHAR(10),IF('L2-C TS2-Retrieval'!H40="★ subs","★ critical sub-items"&amp;CHAR(10),""))&amp;'L2-C TS2-Retrieval'!J40&amp;" · W"&amp;'L2-C TS2-Retrieval'!I40)</f>
        <v/>
      </c>
      <c r="D354" s="226">
        <f>IF('L2-C TS2-Retrieval'!I40=0,"— Not scored",IF('L2-C TS2-Retrieval'!J40="Tier",IF('L2-C TS2-Retrieval'!M40="Fully integrated","✓ FULLY INTEGRATED",IF('L2-C TS2-Retrieval'!M40="Not Met","✗ NOT MET",IF('L2-C TS2-Retrieval'!M40="Not Tested","○ NOT TESTED","◐ "&amp;UPPER('L2-C TS2-Retrieval'!M40)))),IF('L2-C TS2-Retrieval'!M40="Met","✓ MET",IF('L2-C TS2-Retrieval'!M40="Not Met","✗ NOT MET",IF('L2-C TS2-Retrieval'!M40="N/A","— N/A",IF('L2-C TS2-Retrieval'!M40="Counted",IF(AND('L2-C TS2-Retrieval'!N40&gt;=1,'L2-C TS2-Retrieval'!S40=0),"✓ MET",IF('L2-C TS2-Retrieval'!J40="All-or-nothing","✗ NOT MET",IF('L2-C TS2-Retrieval'!S40=1,"✗ NOT MET (★)","◐ PARTIAL")))&amp;CHAR(10)&amp;"("&amp;'L2-C TS2-Retrieval'!L40&amp;" of "&amp;'L2-C TS2-Retrieval'!K40&amp;")","○ NOT TESTED"))))))</f>
        <v/>
      </c>
      <c r="E354" s="241">
        <f>IF('L2-C TS2-Retrieval'!N40="","—",'L2-C TS2-Retrieval'!N40)</f>
        <v/>
      </c>
      <c r="F354" s="223">
        <f>'L2-C TS2-Retrieval'!O40&amp;IF('L2-C TS2-Retrieval'!P40&lt;&gt;"",CHAR(10)&amp;"Notes: "&amp;'L2-C TS2-Retrieval'!P40,"")</f>
        <v/>
      </c>
    </row>
    <row r="355" ht="196" customHeight="1" s="125">
      <c r="A355" s="242" t="n"/>
      <c r="B355" s="243">
        <f>"Developer's Guide: "&amp;IFERROR(LEFT('L2-C TS2-Retrieval'!D40,FIND(CHAR(10)&amp;CHAR(10)&amp;"Purpose:",'L2-C TS2-Retrieval'!D40)-1),'L2-C TS2-Retrieval'!D40)</f>
        <v/>
      </c>
      <c r="C355" s="243">
        <f>"Validator's Guide: "&amp;'L2-C TS2-Retrieval'!E40&amp;CHAR(10)&amp;"Evidence: "&amp;'L2-C TS2-Retrieval'!F40</f>
        <v/>
      </c>
      <c r="D355" s="203" t="n"/>
      <c r="E355" s="203" t="n"/>
      <c r="F355" s="204" t="n"/>
    </row>
    <row r="356" ht="16" customHeight="1" s="125">
      <c r="A356" s="244">
        <f>'L2-C TS2-Retrieval'!A41</f>
        <v/>
      </c>
      <c r="B356" s="245">
        <f>"   ↳  "&amp;IF('L2-C TS2-Retrieval'!H41="Yes","★ ","")&amp;'L2-C TS2-Retrieval'!C41</f>
        <v/>
      </c>
      <c r="C356" s="204" t="n"/>
      <c r="D356" s="240">
        <f>IF('L2-C TS2-Retrieval'!M41="Met","✓ Met",IF('L2-C TS2-Retrieval'!M41="Not Met","✗ Not met",IF('L2-C TS2-Retrieval'!M41="N/A","— N/A","○ Not tested")))</f>
        <v/>
      </c>
      <c r="E356" s="245" t="n"/>
      <c r="F356" s="245">
        <f>IF('L2-C TS2-Retrieval'!P41&lt;&gt;"",'L2-C TS2-Retrieval'!P41,"")</f>
        <v/>
      </c>
    </row>
    <row r="357" ht="16" customHeight="1" s="125">
      <c r="A357" s="244">
        <f>'L2-C TS2-Retrieval'!A42</f>
        <v/>
      </c>
      <c r="B357" s="245">
        <f>"   ↳  "&amp;IF('L2-C TS2-Retrieval'!H42="Yes","★ ","")&amp;'L2-C TS2-Retrieval'!C42</f>
        <v/>
      </c>
      <c r="C357" s="204" t="n"/>
      <c r="D357" s="240">
        <f>IF('L2-C TS2-Retrieval'!M42="Met","✓ Met",IF('L2-C TS2-Retrieval'!M42="Not Met","✗ Not met",IF('L2-C TS2-Retrieval'!M42="N/A","— N/A","○ Not tested")))</f>
        <v/>
      </c>
      <c r="E357" s="245" t="n"/>
      <c r="F357" s="245">
        <f>IF('L2-C TS2-Retrieval'!P42&lt;&gt;"",'L2-C TS2-Retrieval'!P42,"")</f>
        <v/>
      </c>
    </row>
    <row r="358" ht="16" customHeight="1" s="125">
      <c r="A358" s="244">
        <f>'L2-C TS2-Retrieval'!A43</f>
        <v/>
      </c>
      <c r="B358" s="245">
        <f>"   ↳  "&amp;IF('L2-C TS2-Retrieval'!H43="Yes","★ ","")&amp;'L2-C TS2-Retrieval'!C43</f>
        <v/>
      </c>
      <c r="C358" s="204" t="n"/>
      <c r="D358" s="240">
        <f>IF('L2-C TS2-Retrieval'!M43="Met","✓ Met",IF('L2-C TS2-Retrieval'!M43="Not Met","✗ Not met",IF('L2-C TS2-Retrieval'!M43="N/A","— N/A","○ Not tested")))</f>
        <v/>
      </c>
      <c r="E358" s="245" t="n"/>
      <c r="F358" s="245">
        <f>IF('L2-C TS2-Retrieval'!P43&lt;&gt;"",'L2-C TS2-Retrieval'!P43,"")</f>
        <v/>
      </c>
    </row>
    <row r="359" ht="16" customHeight="1" s="125">
      <c r="A359" s="244">
        <f>'L2-C TS2-Retrieval'!A44</f>
        <v/>
      </c>
      <c r="B359" s="245">
        <f>"   ↳  "&amp;IF('L2-C TS2-Retrieval'!H44="Yes","★ ","")&amp;'L2-C TS2-Retrieval'!C44</f>
        <v/>
      </c>
      <c r="C359" s="204" t="n"/>
      <c r="D359" s="240">
        <f>IF('L2-C TS2-Retrieval'!M44="Met","✓ Met",IF('L2-C TS2-Retrieval'!M44="Not Met","✗ Not met",IF('L2-C TS2-Retrieval'!M44="N/A","— N/A","○ Not tested")))</f>
        <v/>
      </c>
      <c r="E359" s="245" t="n"/>
      <c r="F359" s="245">
        <f>IF('L2-C TS2-Retrieval'!P44&lt;&gt;"",'L2-C TS2-Retrieval'!P44,"")</f>
        <v/>
      </c>
    </row>
    <row r="360" ht="43" customHeight="1" s="125">
      <c r="A360" s="238">
        <f>'L2-C TS2-Retrieval'!A45</f>
        <v/>
      </c>
      <c r="B360" s="239">
        <f>'L2-C TS2-Retrieval'!C45&amp;CHAR(10)&amp;"["&amp;'L2-C TS2-Retrieval'!B45&amp;" · "&amp;'L2-C TS2-Retrieval'!G45&amp;"]"</f>
        <v/>
      </c>
      <c r="C360" s="240">
        <f>IF('L2-C TS2-Retrieval'!I45=0,"Info only",IF('L2-C TS2-Retrieval'!H45="Yes","★ CRITICAL"&amp;CHAR(10),IF('L2-C TS2-Retrieval'!H45="★ subs","★ critical sub-items"&amp;CHAR(10),""))&amp;'L2-C TS2-Retrieval'!J45&amp;" · W"&amp;'L2-C TS2-Retrieval'!I45)</f>
        <v/>
      </c>
      <c r="D360" s="226">
        <f>IF('L2-C TS2-Retrieval'!I45=0,"— Not scored",IF('L2-C TS2-Retrieval'!J45="Tier",IF('L2-C TS2-Retrieval'!M45="Fully integrated","✓ FULLY INTEGRATED",IF('L2-C TS2-Retrieval'!M45="Not Met","✗ NOT MET",IF('L2-C TS2-Retrieval'!M45="Not Tested","○ NOT TESTED","◐ "&amp;UPPER('L2-C TS2-Retrieval'!M45)))),IF('L2-C TS2-Retrieval'!M45="Met","✓ MET",IF('L2-C TS2-Retrieval'!M45="Not Met","✗ NOT MET",IF('L2-C TS2-Retrieval'!M45="N/A","— N/A",IF('L2-C TS2-Retrieval'!M45="Counted",IF(AND('L2-C TS2-Retrieval'!N45&gt;=1,'L2-C TS2-Retrieval'!S45=0),"✓ MET",IF('L2-C TS2-Retrieval'!J45="All-or-nothing","✗ NOT MET",IF('L2-C TS2-Retrieval'!S45=1,"✗ NOT MET (★)","◐ PARTIAL")))&amp;CHAR(10)&amp;"("&amp;'L2-C TS2-Retrieval'!L45&amp;" of "&amp;'L2-C TS2-Retrieval'!K45&amp;")","○ NOT TESTED"))))))</f>
        <v/>
      </c>
      <c r="E360" s="241">
        <f>IF('L2-C TS2-Retrieval'!N45="","—",'L2-C TS2-Retrieval'!N45)</f>
        <v/>
      </c>
      <c r="F360" s="223">
        <f>'L2-C TS2-Retrieval'!O45&amp;IF('L2-C TS2-Retrieval'!P45&lt;&gt;"",CHAR(10)&amp;"Notes: "&amp;'L2-C TS2-Retrieval'!P45,"")</f>
        <v/>
      </c>
    </row>
    <row r="361" ht="196" customHeight="1" s="125">
      <c r="A361" s="242" t="n"/>
      <c r="B361" s="243">
        <f>"Developer's Guide: "&amp;IFERROR(LEFT('L2-C TS2-Retrieval'!D45,FIND(CHAR(10)&amp;CHAR(10)&amp;"Purpose:",'L2-C TS2-Retrieval'!D45)-1),'L2-C TS2-Retrieval'!D45)</f>
        <v/>
      </c>
      <c r="C361" s="243">
        <f>"Validator's Guide: "&amp;'L2-C TS2-Retrieval'!E45&amp;CHAR(10)&amp;"Evidence: "&amp;'L2-C TS2-Retrieval'!F45</f>
        <v/>
      </c>
      <c r="D361" s="203" t="n"/>
      <c r="E361" s="203" t="n"/>
      <c r="F361" s="204" t="n"/>
    </row>
    <row r="362" ht="16" customHeight="1" s="125">
      <c r="A362" s="244">
        <f>'L2-C TS2-Retrieval'!A46</f>
        <v/>
      </c>
      <c r="B362" s="245">
        <f>"   ↳  "&amp;IF('L2-C TS2-Retrieval'!H46="Yes","★ ","")&amp;'L2-C TS2-Retrieval'!C46</f>
        <v/>
      </c>
      <c r="C362" s="204" t="n"/>
      <c r="D362" s="240">
        <f>IF('L2-C TS2-Retrieval'!M46="Met","✓ Met",IF('L2-C TS2-Retrieval'!M46="Not Met","✗ Not met",IF('L2-C TS2-Retrieval'!M46="N/A","— N/A","○ Not tested")))</f>
        <v/>
      </c>
      <c r="E362" s="245" t="n"/>
      <c r="F362" s="245">
        <f>IF('L2-C TS2-Retrieval'!P46&lt;&gt;"",'L2-C TS2-Retrieval'!P46,"")</f>
        <v/>
      </c>
    </row>
    <row r="363" ht="16" customHeight="1" s="125">
      <c r="A363" s="244">
        <f>'L2-C TS2-Retrieval'!A47</f>
        <v/>
      </c>
      <c r="B363" s="245">
        <f>"   ↳  "&amp;IF('L2-C TS2-Retrieval'!H47="Yes","★ ","")&amp;'L2-C TS2-Retrieval'!C47</f>
        <v/>
      </c>
      <c r="C363" s="204" t="n"/>
      <c r="D363" s="240">
        <f>IF('L2-C TS2-Retrieval'!M47="Met","✓ Met",IF('L2-C TS2-Retrieval'!M47="Not Met","✗ Not met",IF('L2-C TS2-Retrieval'!M47="N/A","— N/A","○ Not tested")))</f>
        <v/>
      </c>
      <c r="E363" s="245" t="n"/>
      <c r="F363" s="245">
        <f>IF('L2-C TS2-Retrieval'!P47&lt;&gt;"",'L2-C TS2-Retrieval'!P47,"")</f>
        <v/>
      </c>
    </row>
    <row r="364" ht="16" customHeight="1" s="125">
      <c r="A364" s="244">
        <f>'L2-C TS2-Retrieval'!A48</f>
        <v/>
      </c>
      <c r="B364" s="245">
        <f>"   ↳  "&amp;IF('L2-C TS2-Retrieval'!H48="Yes","★ ","")&amp;'L2-C TS2-Retrieval'!C48</f>
        <v/>
      </c>
      <c r="C364" s="204" t="n"/>
      <c r="D364" s="240">
        <f>IF('L2-C TS2-Retrieval'!M48="Met","✓ Met",IF('L2-C TS2-Retrieval'!M48="Not Met","✗ Not met",IF('L2-C TS2-Retrieval'!M48="N/A","— N/A","○ Not tested")))</f>
        <v/>
      </c>
      <c r="E364" s="245" t="n"/>
      <c r="F364" s="245">
        <f>IF('L2-C TS2-Retrieval'!P48&lt;&gt;"",'L2-C TS2-Retrieval'!P48,"")</f>
        <v/>
      </c>
    </row>
    <row r="365" ht="16" customHeight="1" s="125">
      <c r="A365" s="244">
        <f>'L2-C TS2-Retrieval'!A49</f>
        <v/>
      </c>
      <c r="B365" s="245">
        <f>"   ↳  "&amp;IF('L2-C TS2-Retrieval'!H49="Yes","★ ","")&amp;'L2-C TS2-Retrieval'!C49</f>
        <v/>
      </c>
      <c r="C365" s="204" t="n"/>
      <c r="D365" s="240">
        <f>IF('L2-C TS2-Retrieval'!M49="Met","✓ Met",IF('L2-C TS2-Retrieval'!M49="Not Met","✗ Not met",IF('L2-C TS2-Retrieval'!M49="N/A","— N/A","○ Not tested")))</f>
        <v/>
      </c>
      <c r="E365" s="245" t="n"/>
      <c r="F365" s="245">
        <f>IF('L2-C TS2-Retrieval'!P49&lt;&gt;"",'L2-C TS2-Retrieval'!P49,"")</f>
        <v/>
      </c>
    </row>
    <row r="366" ht="16" customHeight="1" s="125">
      <c r="A366" s="244">
        <f>'L2-C TS2-Retrieval'!A50</f>
        <v/>
      </c>
      <c r="B366" s="245">
        <f>"   ↳  "&amp;IF('L2-C TS2-Retrieval'!H50="Yes","★ ","")&amp;'L2-C TS2-Retrieval'!C50</f>
        <v/>
      </c>
      <c r="C366" s="204" t="n"/>
      <c r="D366" s="240">
        <f>IF('L2-C TS2-Retrieval'!M50="Met","✓ Met",IF('L2-C TS2-Retrieval'!M50="Not Met","✗ Not met",IF('L2-C TS2-Retrieval'!M50="N/A","— N/A","○ Not tested")))</f>
        <v/>
      </c>
      <c r="E366" s="245" t="n"/>
      <c r="F366" s="245">
        <f>IF('L2-C TS2-Retrieval'!P50&lt;&gt;"",'L2-C TS2-Retrieval'!P50,"")</f>
        <v/>
      </c>
    </row>
    <row r="367" ht="16" customHeight="1" s="125">
      <c r="A367" s="244">
        <f>'L2-C TS2-Retrieval'!A51</f>
        <v/>
      </c>
      <c r="B367" s="245">
        <f>"   ↳  "&amp;IF('L2-C TS2-Retrieval'!H51="Yes","★ ","")&amp;'L2-C TS2-Retrieval'!C51</f>
        <v/>
      </c>
      <c r="C367" s="204" t="n"/>
      <c r="D367" s="240">
        <f>IF('L2-C TS2-Retrieval'!M51="Met","✓ Met",IF('L2-C TS2-Retrieval'!M51="Not Met","✗ Not met",IF('L2-C TS2-Retrieval'!M51="N/A","— N/A","○ Not tested")))</f>
        <v/>
      </c>
      <c r="E367" s="245" t="n"/>
      <c r="F367" s="245">
        <f>IF('L2-C TS2-Retrieval'!P51&lt;&gt;"",'L2-C TS2-Retrieval'!P51,"")</f>
        <v/>
      </c>
    </row>
    <row r="368" ht="43" customHeight="1" s="125">
      <c r="A368" s="238">
        <f>'L2-C TS2-Retrieval'!A52</f>
        <v/>
      </c>
      <c r="B368" s="239">
        <f>'L2-C TS2-Retrieval'!C52&amp;CHAR(10)&amp;"["&amp;'L2-C TS2-Retrieval'!B52&amp;" · "&amp;'L2-C TS2-Retrieval'!G52&amp;"]"</f>
        <v/>
      </c>
      <c r="C368" s="240">
        <f>IF('L2-C TS2-Retrieval'!I52=0,"Info only",IF('L2-C TS2-Retrieval'!H52="Yes","★ CRITICAL"&amp;CHAR(10),IF('L2-C TS2-Retrieval'!H52="★ subs","★ critical sub-items"&amp;CHAR(10),""))&amp;'L2-C TS2-Retrieval'!J52&amp;" · W"&amp;'L2-C TS2-Retrieval'!I52)</f>
        <v/>
      </c>
      <c r="D368" s="226">
        <f>IF('L2-C TS2-Retrieval'!I52=0,"— Not scored",IF('L2-C TS2-Retrieval'!J52="Tier",IF('L2-C TS2-Retrieval'!M52="Fully integrated","✓ FULLY INTEGRATED",IF('L2-C TS2-Retrieval'!M52="Not Met","✗ NOT MET",IF('L2-C TS2-Retrieval'!M52="Not Tested","○ NOT TESTED","◐ "&amp;UPPER('L2-C TS2-Retrieval'!M52)))),IF('L2-C TS2-Retrieval'!M52="Met","✓ MET",IF('L2-C TS2-Retrieval'!M52="Not Met","✗ NOT MET",IF('L2-C TS2-Retrieval'!M52="N/A","— N/A",IF('L2-C TS2-Retrieval'!M52="Counted",IF(AND('L2-C TS2-Retrieval'!N52&gt;=1,'L2-C TS2-Retrieval'!S52=0),"✓ MET",IF('L2-C TS2-Retrieval'!J52="All-or-nothing","✗ NOT MET",IF('L2-C TS2-Retrieval'!S52=1,"✗ NOT MET (★)","◐ PARTIAL")))&amp;CHAR(10)&amp;"("&amp;'L2-C TS2-Retrieval'!L52&amp;" of "&amp;'L2-C TS2-Retrieval'!K52&amp;")","○ NOT TESTED"))))))</f>
        <v/>
      </c>
      <c r="E368" s="241">
        <f>IF('L2-C TS2-Retrieval'!N52="","—",'L2-C TS2-Retrieval'!N52)</f>
        <v/>
      </c>
      <c r="F368" s="223">
        <f>'L2-C TS2-Retrieval'!O52&amp;IF('L2-C TS2-Retrieval'!P52&lt;&gt;"",CHAR(10)&amp;"Notes: "&amp;'L2-C TS2-Retrieval'!P52,"")</f>
        <v/>
      </c>
    </row>
    <row r="369" ht="100" customHeight="1" s="125">
      <c r="A369" s="242" t="n"/>
      <c r="B369" s="243">
        <f>"Developer's Guide: "&amp;IFERROR(LEFT('L2-C TS2-Retrieval'!D52,FIND(CHAR(10)&amp;CHAR(10)&amp;"Purpose:",'L2-C TS2-Retrieval'!D52)-1),'L2-C TS2-Retrieval'!D52)</f>
        <v/>
      </c>
      <c r="C369" s="243">
        <f>"Validator's Guide: "&amp;'L2-C TS2-Retrieval'!E52&amp;CHAR(10)&amp;"Evidence: "&amp;'L2-C TS2-Retrieval'!F52</f>
        <v/>
      </c>
      <c r="D369" s="203" t="n"/>
      <c r="E369" s="203" t="n"/>
      <c r="F369" s="204" t="n"/>
    </row>
    <row r="370" ht="43" customHeight="1" s="125">
      <c r="A370" s="238">
        <f>'L2-C TS2-Retrieval'!A53</f>
        <v/>
      </c>
      <c r="B370" s="239">
        <f>'L2-C TS2-Retrieval'!C53&amp;CHAR(10)&amp;"["&amp;'L2-C TS2-Retrieval'!B53&amp;" · "&amp;'L2-C TS2-Retrieval'!G53&amp;"]"</f>
        <v/>
      </c>
      <c r="C370" s="240">
        <f>IF('L2-C TS2-Retrieval'!I53=0,"Info only",IF('L2-C TS2-Retrieval'!H53="Yes","★ CRITICAL"&amp;CHAR(10),IF('L2-C TS2-Retrieval'!H53="★ subs","★ critical sub-items"&amp;CHAR(10),""))&amp;'L2-C TS2-Retrieval'!J53&amp;" · W"&amp;'L2-C TS2-Retrieval'!I53)</f>
        <v/>
      </c>
      <c r="D370" s="226">
        <f>IF('L2-C TS2-Retrieval'!I53=0,"— Not scored",IF('L2-C TS2-Retrieval'!J53="Tier",IF('L2-C TS2-Retrieval'!M53="Fully integrated","✓ FULLY INTEGRATED",IF('L2-C TS2-Retrieval'!M53="Not Met","✗ NOT MET",IF('L2-C TS2-Retrieval'!M53="Not Tested","○ NOT TESTED","◐ "&amp;UPPER('L2-C TS2-Retrieval'!M53)))),IF('L2-C TS2-Retrieval'!M53="Met","✓ MET",IF('L2-C TS2-Retrieval'!M53="Not Met","✗ NOT MET",IF('L2-C TS2-Retrieval'!M53="N/A","— N/A",IF('L2-C TS2-Retrieval'!M53="Counted",IF(AND('L2-C TS2-Retrieval'!N53&gt;=1,'L2-C TS2-Retrieval'!S53=0),"✓ MET",IF('L2-C TS2-Retrieval'!J53="All-or-nothing","✗ NOT MET",IF('L2-C TS2-Retrieval'!S53=1,"✗ NOT MET (★)","◐ PARTIAL")))&amp;CHAR(10)&amp;"("&amp;'L2-C TS2-Retrieval'!L53&amp;" of "&amp;'L2-C TS2-Retrieval'!K53&amp;")","○ NOT TESTED"))))))</f>
        <v/>
      </c>
      <c r="E370" s="241">
        <f>IF('L2-C TS2-Retrieval'!N53="","—",'L2-C TS2-Retrieval'!N53)</f>
        <v/>
      </c>
      <c r="F370" s="223">
        <f>'L2-C TS2-Retrieval'!O53&amp;IF('L2-C TS2-Retrieval'!P53&lt;&gt;"",CHAR(10)&amp;"Notes: "&amp;'L2-C TS2-Retrieval'!P53,"")</f>
        <v/>
      </c>
    </row>
    <row r="371" ht="196" customHeight="1" s="125">
      <c r="A371" s="242" t="n"/>
      <c r="B371" s="243">
        <f>"Developer's Guide: "&amp;IFERROR(LEFT('L2-C TS2-Retrieval'!D53,FIND(CHAR(10)&amp;CHAR(10)&amp;"Purpose:",'L2-C TS2-Retrieval'!D53)-1),'L2-C TS2-Retrieval'!D53)</f>
        <v/>
      </c>
      <c r="C371" s="243">
        <f>"Validator's Guide: "&amp;'L2-C TS2-Retrieval'!E53&amp;CHAR(10)&amp;"Evidence: "&amp;'L2-C TS2-Retrieval'!F53</f>
        <v/>
      </c>
      <c r="D371" s="203" t="n"/>
      <c r="E371" s="203" t="n"/>
      <c r="F371" s="204" t="n"/>
    </row>
    <row r="372" ht="16" customHeight="1" s="125">
      <c r="A372" s="244">
        <f>'L2-C TS2-Retrieval'!A54</f>
        <v/>
      </c>
      <c r="B372" s="245">
        <f>"   ↳  "&amp;IF('L2-C TS2-Retrieval'!H54="Yes","★ ","")&amp;'L2-C TS2-Retrieval'!C54</f>
        <v/>
      </c>
      <c r="C372" s="204" t="n"/>
      <c r="D372" s="240">
        <f>IF('L2-C TS2-Retrieval'!M54="Met","✓ Met",IF('L2-C TS2-Retrieval'!M54="Not Met","✗ Not met",IF('L2-C TS2-Retrieval'!M54="N/A","— N/A","○ Not tested")))</f>
        <v/>
      </c>
      <c r="E372" s="245" t="n"/>
      <c r="F372" s="245">
        <f>IF('L2-C TS2-Retrieval'!P54&lt;&gt;"",'L2-C TS2-Retrieval'!P54,"")</f>
        <v/>
      </c>
    </row>
    <row r="373" ht="16" customHeight="1" s="125">
      <c r="A373" s="244">
        <f>'L2-C TS2-Retrieval'!A55</f>
        <v/>
      </c>
      <c r="B373" s="245">
        <f>"   ↳  "&amp;IF('L2-C TS2-Retrieval'!H55="Yes","★ ","")&amp;'L2-C TS2-Retrieval'!C55</f>
        <v/>
      </c>
      <c r="C373" s="204" t="n"/>
      <c r="D373" s="240">
        <f>IF('L2-C TS2-Retrieval'!M55="Met","✓ Met",IF('L2-C TS2-Retrieval'!M55="Not Met","✗ Not met",IF('L2-C TS2-Retrieval'!M55="N/A","— N/A","○ Not tested")))</f>
        <v/>
      </c>
      <c r="E373" s="245" t="n"/>
      <c r="F373" s="245">
        <f>IF('L2-C TS2-Retrieval'!P55&lt;&gt;"",'L2-C TS2-Retrieval'!P55,"")</f>
        <v/>
      </c>
    </row>
    <row r="374" ht="16" customHeight="1" s="125">
      <c r="A374" s="244">
        <f>'L2-C TS2-Retrieval'!A56</f>
        <v/>
      </c>
      <c r="B374" s="245">
        <f>"   ↳  "&amp;IF('L2-C TS2-Retrieval'!H56="Yes","★ ","")&amp;'L2-C TS2-Retrieval'!C56</f>
        <v/>
      </c>
      <c r="C374" s="204" t="n"/>
      <c r="D374" s="240">
        <f>IF('L2-C TS2-Retrieval'!M56="Met","✓ Met",IF('L2-C TS2-Retrieval'!M56="Not Met","✗ Not met",IF('L2-C TS2-Retrieval'!M56="N/A","— N/A","○ Not tested")))</f>
        <v/>
      </c>
      <c r="E374" s="245" t="n"/>
      <c r="F374" s="245">
        <f>IF('L2-C TS2-Retrieval'!P56&lt;&gt;"",'L2-C TS2-Retrieval'!P56,"")</f>
        <v/>
      </c>
    </row>
    <row r="375" ht="56" customHeight="1" s="125">
      <c r="A375" s="238">
        <f>'L2-C TS2-Retrieval'!A57</f>
        <v/>
      </c>
      <c r="B375" s="239">
        <f>'L2-C TS2-Retrieval'!C57&amp;CHAR(10)&amp;"["&amp;'L2-C TS2-Retrieval'!B57&amp;" · "&amp;'L2-C TS2-Retrieval'!G57&amp;"]"</f>
        <v/>
      </c>
      <c r="C375" s="240">
        <f>IF('L2-C TS2-Retrieval'!I57=0,"Info only",IF('L2-C TS2-Retrieval'!H57="Yes","★ CRITICAL"&amp;CHAR(10),IF('L2-C TS2-Retrieval'!H57="★ subs","★ critical sub-items"&amp;CHAR(10),""))&amp;'L2-C TS2-Retrieval'!J57&amp;" · W"&amp;'L2-C TS2-Retrieval'!I57)</f>
        <v/>
      </c>
      <c r="D375" s="226">
        <f>IF('L2-C TS2-Retrieval'!I57=0,"— Not scored",IF('L2-C TS2-Retrieval'!J57="Tier",IF('L2-C TS2-Retrieval'!M57="Fully integrated","✓ FULLY INTEGRATED",IF('L2-C TS2-Retrieval'!M57="Not Met","✗ NOT MET",IF('L2-C TS2-Retrieval'!M57="Not Tested","○ NOT TESTED","◐ "&amp;UPPER('L2-C TS2-Retrieval'!M57)))),IF('L2-C TS2-Retrieval'!M57="Met","✓ MET",IF('L2-C TS2-Retrieval'!M57="Not Met","✗ NOT MET",IF('L2-C TS2-Retrieval'!M57="N/A","— N/A",IF('L2-C TS2-Retrieval'!M57="Counted",IF(AND('L2-C TS2-Retrieval'!N57&gt;=1,'L2-C TS2-Retrieval'!S57=0),"✓ MET",IF('L2-C TS2-Retrieval'!J57="All-or-nothing","✗ NOT MET",IF('L2-C TS2-Retrieval'!S57=1,"✗ NOT MET (★)","◐ PARTIAL")))&amp;CHAR(10)&amp;"("&amp;'L2-C TS2-Retrieval'!L57&amp;" of "&amp;'L2-C TS2-Retrieval'!K57&amp;")","○ NOT TESTED"))))))</f>
        <v/>
      </c>
      <c r="E375" s="241">
        <f>IF('L2-C TS2-Retrieval'!N57="","—",'L2-C TS2-Retrieval'!N57)</f>
        <v/>
      </c>
      <c r="F375" s="223">
        <f>'L2-C TS2-Retrieval'!O57&amp;IF('L2-C TS2-Retrieval'!P57&lt;&gt;"",CHAR(10)&amp;"Notes: "&amp;'L2-C TS2-Retrieval'!P57,"")</f>
        <v/>
      </c>
    </row>
    <row r="376" ht="232" customHeight="1" s="125">
      <c r="A376" s="242" t="n"/>
      <c r="B376" s="243">
        <f>"Developer's Guide: "&amp;IFERROR(LEFT('L2-C TS2-Retrieval'!D57,FIND(CHAR(10)&amp;CHAR(10)&amp;"Purpose:",'L2-C TS2-Retrieval'!D57)-1),'L2-C TS2-Retrieval'!D57)</f>
        <v/>
      </c>
      <c r="C376" s="243">
        <f>"Validator's Guide: "&amp;'L2-C TS2-Retrieval'!E57&amp;CHAR(10)&amp;"Evidence: "&amp;'L2-C TS2-Retrieval'!F57</f>
        <v/>
      </c>
      <c r="D376" s="203" t="n"/>
      <c r="E376" s="203" t="n"/>
      <c r="F376" s="204" t="n"/>
    </row>
    <row r="377" ht="16" customHeight="1" s="125">
      <c r="A377" s="244">
        <f>'L2-C TS2-Retrieval'!A58</f>
        <v/>
      </c>
      <c r="B377" s="245">
        <f>"   ↳  "&amp;IF('L2-C TS2-Retrieval'!H58="Yes","★ ","")&amp;'L2-C TS2-Retrieval'!C58</f>
        <v/>
      </c>
      <c r="C377" s="204" t="n"/>
      <c r="D377" s="240">
        <f>IF('L2-C TS2-Retrieval'!M58="Met","✓ Met",IF('L2-C TS2-Retrieval'!M58="Not Met","✗ Not met",IF('L2-C TS2-Retrieval'!M58="N/A","— N/A","○ Not tested")))</f>
        <v/>
      </c>
      <c r="E377" s="245" t="n"/>
      <c r="F377" s="245">
        <f>IF('L2-C TS2-Retrieval'!P58&lt;&gt;"",'L2-C TS2-Retrieval'!P58,"")</f>
        <v/>
      </c>
    </row>
    <row r="378" ht="29" customHeight="1" s="125">
      <c r="A378" s="244">
        <f>'L2-C TS2-Retrieval'!A59</f>
        <v/>
      </c>
      <c r="B378" s="245">
        <f>"   ↳  "&amp;IF('L2-C TS2-Retrieval'!H59="Yes","★ ","")&amp;'L2-C TS2-Retrieval'!C59</f>
        <v/>
      </c>
      <c r="C378" s="204" t="n"/>
      <c r="D378" s="240">
        <f>IF('L2-C TS2-Retrieval'!M59="Met","✓ Met",IF('L2-C TS2-Retrieval'!M59="Not Met","✗ Not met",IF('L2-C TS2-Retrieval'!M59="N/A","— N/A","○ Not tested")))</f>
        <v/>
      </c>
      <c r="E378" s="245" t="n"/>
      <c r="F378" s="245">
        <f>IF('L2-C TS2-Retrieval'!P59&lt;&gt;"",'L2-C TS2-Retrieval'!P59,"")</f>
        <v/>
      </c>
    </row>
    <row r="379" ht="16" customHeight="1" s="125">
      <c r="A379" s="244">
        <f>'L2-C TS2-Retrieval'!A60</f>
        <v/>
      </c>
      <c r="B379" s="245">
        <f>"   ↳  "&amp;IF('L2-C TS2-Retrieval'!H60="Yes","★ ","")&amp;'L2-C TS2-Retrieval'!C60</f>
        <v/>
      </c>
      <c r="C379" s="204" t="n"/>
      <c r="D379" s="240">
        <f>IF('L2-C TS2-Retrieval'!M60="Met","✓ Met",IF('L2-C TS2-Retrieval'!M60="Not Met","✗ Not met",IF('L2-C TS2-Retrieval'!M60="N/A","— N/A","○ Not tested")))</f>
        <v/>
      </c>
      <c r="E379" s="245" t="n"/>
      <c r="F379" s="245">
        <f>IF('L2-C TS2-Retrieval'!P60&lt;&gt;"",'L2-C TS2-Retrieval'!P60,"")</f>
        <v/>
      </c>
    </row>
    <row r="380" ht="42" customHeight="1" s="125">
      <c r="A380" s="244">
        <f>'L2-C TS2-Retrieval'!A61</f>
        <v/>
      </c>
      <c r="B380" s="245">
        <f>"   ↳  "&amp;IF('L2-C TS2-Retrieval'!H61="Yes","★ ","")&amp;'L2-C TS2-Retrieval'!C61</f>
        <v/>
      </c>
      <c r="C380" s="204" t="n"/>
      <c r="D380" s="240">
        <f>IF('L2-C TS2-Retrieval'!M61="Met","✓ Met",IF('L2-C TS2-Retrieval'!M61="Not Met","✗ Not met",IF('L2-C TS2-Retrieval'!M61="N/A","— N/A","○ Not tested")))</f>
        <v/>
      </c>
      <c r="E380" s="245" t="n"/>
      <c r="F380" s="245">
        <f>IF('L2-C TS2-Retrieval'!P61&lt;&gt;"",'L2-C TS2-Retrieval'!P61,"")</f>
        <v/>
      </c>
    </row>
    <row r="381" ht="56" customHeight="1" s="125">
      <c r="A381" s="238">
        <f>'L2-C TS2-Retrieval'!A62</f>
        <v/>
      </c>
      <c r="B381" s="239">
        <f>'L2-C TS2-Retrieval'!C62&amp;CHAR(10)&amp;"["&amp;'L2-C TS2-Retrieval'!B62&amp;" · "&amp;'L2-C TS2-Retrieval'!G62&amp;"]"</f>
        <v/>
      </c>
      <c r="C381" s="240">
        <f>IF('L2-C TS2-Retrieval'!I62=0,"Info only",IF('L2-C TS2-Retrieval'!H62="Yes","★ CRITICAL"&amp;CHAR(10),IF('L2-C TS2-Retrieval'!H62="★ subs","★ critical sub-items"&amp;CHAR(10),""))&amp;'L2-C TS2-Retrieval'!J62&amp;" · W"&amp;'L2-C TS2-Retrieval'!I62)</f>
        <v/>
      </c>
      <c r="D381" s="226">
        <f>IF('L2-C TS2-Retrieval'!I62=0,"— Not scored",IF('L2-C TS2-Retrieval'!J62="Tier",IF('L2-C TS2-Retrieval'!M62="Fully integrated","✓ FULLY INTEGRATED",IF('L2-C TS2-Retrieval'!M62="Not Met","✗ NOT MET",IF('L2-C TS2-Retrieval'!M62="Not Tested","○ NOT TESTED","◐ "&amp;UPPER('L2-C TS2-Retrieval'!M62)))),IF('L2-C TS2-Retrieval'!M62="Met","✓ MET",IF('L2-C TS2-Retrieval'!M62="Not Met","✗ NOT MET",IF('L2-C TS2-Retrieval'!M62="N/A","— N/A",IF('L2-C TS2-Retrieval'!M62="Counted",IF(AND('L2-C TS2-Retrieval'!N62&gt;=1,'L2-C TS2-Retrieval'!S62=0),"✓ MET",IF('L2-C TS2-Retrieval'!J62="All-or-nothing","✗ NOT MET",IF('L2-C TS2-Retrieval'!S62=1,"✗ NOT MET (★)","◐ PARTIAL")))&amp;CHAR(10)&amp;"("&amp;'L2-C TS2-Retrieval'!L62&amp;" of "&amp;'L2-C TS2-Retrieval'!K62&amp;")","○ NOT TESTED"))))))</f>
        <v/>
      </c>
      <c r="E381" s="241">
        <f>IF('L2-C TS2-Retrieval'!N62="","—",'L2-C TS2-Retrieval'!N62)</f>
        <v/>
      </c>
      <c r="F381" s="223">
        <f>'L2-C TS2-Retrieval'!O62&amp;IF('L2-C TS2-Retrieval'!P62&lt;&gt;"",CHAR(10)&amp;"Notes: "&amp;'L2-C TS2-Retrieval'!P62,"")</f>
        <v/>
      </c>
    </row>
    <row r="382" ht="172" customHeight="1" s="125">
      <c r="A382" s="242" t="n"/>
      <c r="B382" s="243">
        <f>"Developer's Guide: "&amp;IFERROR(LEFT('L2-C TS2-Retrieval'!D62,FIND(CHAR(10)&amp;CHAR(10)&amp;"Purpose:",'L2-C TS2-Retrieval'!D62)-1),'L2-C TS2-Retrieval'!D62)</f>
        <v/>
      </c>
      <c r="C382" s="243">
        <f>"Validator's Guide: "&amp;'L2-C TS2-Retrieval'!E62&amp;CHAR(10)&amp;"Evidence: "&amp;'L2-C TS2-Retrieval'!F62</f>
        <v/>
      </c>
      <c r="D382" s="203" t="n"/>
      <c r="E382" s="203" t="n"/>
      <c r="F382" s="204" t="n"/>
    </row>
    <row r="383" ht="16" customHeight="1" s="125">
      <c r="A383" s="244">
        <f>'L2-C TS2-Retrieval'!A63</f>
        <v/>
      </c>
      <c r="B383" s="245">
        <f>"   ↳  "&amp;IF('L2-C TS2-Retrieval'!H63="Yes","★ ","")&amp;'L2-C TS2-Retrieval'!C63</f>
        <v/>
      </c>
      <c r="C383" s="204" t="n"/>
      <c r="D383" s="240">
        <f>IF('L2-C TS2-Retrieval'!M63="Met","✓ Met",IF('L2-C TS2-Retrieval'!M63="Not Met","✗ Not met",IF('L2-C TS2-Retrieval'!M63="N/A","— N/A","○ Not tested")))</f>
        <v/>
      </c>
      <c r="E383" s="245" t="n"/>
      <c r="F383" s="245">
        <f>IF('L2-C TS2-Retrieval'!P63&lt;&gt;"",'L2-C TS2-Retrieval'!P63,"")</f>
        <v/>
      </c>
    </row>
    <row r="384" ht="16" customHeight="1" s="125">
      <c r="A384" s="244">
        <f>'L2-C TS2-Retrieval'!A64</f>
        <v/>
      </c>
      <c r="B384" s="245">
        <f>"   ↳  "&amp;IF('L2-C TS2-Retrieval'!H64="Yes","★ ","")&amp;'L2-C TS2-Retrieval'!C64</f>
        <v/>
      </c>
      <c r="C384" s="204" t="n"/>
      <c r="D384" s="240">
        <f>IF('L2-C TS2-Retrieval'!M64="Met","✓ Met",IF('L2-C TS2-Retrieval'!M64="Not Met","✗ Not met",IF('L2-C TS2-Retrieval'!M64="N/A","— N/A","○ Not tested")))</f>
        <v/>
      </c>
      <c r="E384" s="245" t="n"/>
      <c r="F384" s="245">
        <f>IF('L2-C TS2-Retrieval'!P64&lt;&gt;"",'L2-C TS2-Retrieval'!P64,"")</f>
        <v/>
      </c>
    </row>
    <row r="385" ht="29" customHeight="1" s="125">
      <c r="A385" s="244">
        <f>'L2-C TS2-Retrieval'!A65</f>
        <v/>
      </c>
      <c r="B385" s="245">
        <f>"   ↳  "&amp;IF('L2-C TS2-Retrieval'!H65="Yes","★ ","")&amp;'L2-C TS2-Retrieval'!C65</f>
        <v/>
      </c>
      <c r="C385" s="204" t="n"/>
      <c r="D385" s="240">
        <f>IF('L2-C TS2-Retrieval'!M65="Met","✓ Met",IF('L2-C TS2-Retrieval'!M65="Not Met","✗ Not met",IF('L2-C TS2-Retrieval'!M65="N/A","— N/A","○ Not tested")))</f>
        <v/>
      </c>
      <c r="E385" s="245" t="n"/>
      <c r="F385" s="245">
        <f>IF('L2-C TS2-Retrieval'!P65&lt;&gt;"",'L2-C TS2-Retrieval'!P65,"")</f>
        <v/>
      </c>
    </row>
    <row r="386" ht="16" customHeight="1" s="125">
      <c r="A386" s="244">
        <f>'L2-C TS2-Retrieval'!A66</f>
        <v/>
      </c>
      <c r="B386" s="245">
        <f>"   ↳  "&amp;IF('L2-C TS2-Retrieval'!H66="Yes","★ ","")&amp;'L2-C TS2-Retrieval'!C66</f>
        <v/>
      </c>
      <c r="C386" s="204" t="n"/>
      <c r="D386" s="240">
        <f>IF('L2-C TS2-Retrieval'!M66="Met","✓ Met",IF('L2-C TS2-Retrieval'!M66="Not Met","✗ Not met",IF('L2-C TS2-Retrieval'!M66="N/A","— N/A","○ Not tested")))</f>
        <v/>
      </c>
      <c r="E386" s="245" t="n"/>
      <c r="F386" s="245">
        <f>IF('L2-C TS2-Retrieval'!P66&lt;&gt;"",'L2-C TS2-Retrieval'!P66,"")</f>
        <v/>
      </c>
    </row>
    <row r="387" ht="43" customHeight="1" s="125">
      <c r="A387" s="238">
        <f>'L2-C TS2-Retrieval'!A67</f>
        <v/>
      </c>
      <c r="B387" s="239">
        <f>'L2-C TS2-Retrieval'!C67&amp;CHAR(10)&amp;"["&amp;'L2-C TS2-Retrieval'!B67&amp;" · "&amp;'L2-C TS2-Retrieval'!G67&amp;"]"</f>
        <v/>
      </c>
      <c r="C387" s="240">
        <f>IF('L2-C TS2-Retrieval'!I67=0,"Info only",IF('L2-C TS2-Retrieval'!H67="Yes","★ CRITICAL"&amp;CHAR(10),IF('L2-C TS2-Retrieval'!H67="★ subs","★ critical sub-items"&amp;CHAR(10),""))&amp;'L2-C TS2-Retrieval'!J67&amp;" · W"&amp;'L2-C TS2-Retrieval'!I67)</f>
        <v/>
      </c>
      <c r="D387" s="226">
        <f>IF('L2-C TS2-Retrieval'!I67=0,"— Not scored",IF('L2-C TS2-Retrieval'!J67="Tier",IF('L2-C TS2-Retrieval'!M67="Fully integrated","✓ FULLY INTEGRATED",IF('L2-C TS2-Retrieval'!M67="Not Met","✗ NOT MET",IF('L2-C TS2-Retrieval'!M67="Not Tested","○ NOT TESTED","◐ "&amp;UPPER('L2-C TS2-Retrieval'!M67)))),IF('L2-C TS2-Retrieval'!M67="Met","✓ MET",IF('L2-C TS2-Retrieval'!M67="Not Met","✗ NOT MET",IF('L2-C TS2-Retrieval'!M67="N/A","— N/A",IF('L2-C TS2-Retrieval'!M67="Counted",IF(AND('L2-C TS2-Retrieval'!N67&gt;=1,'L2-C TS2-Retrieval'!S67=0),"✓ MET",IF('L2-C TS2-Retrieval'!J67="All-or-nothing","✗ NOT MET",IF('L2-C TS2-Retrieval'!S67=1,"✗ NOT MET (★)","◐ PARTIAL")))&amp;CHAR(10)&amp;"("&amp;'L2-C TS2-Retrieval'!L67&amp;" of "&amp;'L2-C TS2-Retrieval'!K67&amp;")","○ NOT TESTED"))))))</f>
        <v/>
      </c>
      <c r="E387" s="241">
        <f>IF('L2-C TS2-Retrieval'!N67="","—",'L2-C TS2-Retrieval'!N67)</f>
        <v/>
      </c>
      <c r="F387" s="223">
        <f>'L2-C TS2-Retrieval'!O67&amp;IF('L2-C TS2-Retrieval'!P67&lt;&gt;"",CHAR(10)&amp;"Notes: "&amp;'L2-C TS2-Retrieval'!P67,"")</f>
        <v/>
      </c>
    </row>
    <row r="388" ht="112" customHeight="1" s="125">
      <c r="A388" s="242" t="n"/>
      <c r="B388" s="243">
        <f>"Developer's Guide: "&amp;IFERROR(LEFT('L2-C TS2-Retrieval'!D67,FIND(CHAR(10)&amp;CHAR(10)&amp;"Purpose:",'L2-C TS2-Retrieval'!D67)-1),'L2-C TS2-Retrieval'!D67)</f>
        <v/>
      </c>
      <c r="C388" s="243">
        <f>"Validator's Guide: "&amp;'L2-C TS2-Retrieval'!E67&amp;CHAR(10)&amp;"Evidence: "&amp;'L2-C TS2-Retrieval'!F67</f>
        <v/>
      </c>
      <c r="D388" s="203" t="n"/>
      <c r="E388" s="203" t="n"/>
      <c r="F388" s="204" t="n"/>
    </row>
    <row r="389" ht="69" customHeight="1" s="125">
      <c r="A389" s="238">
        <f>'L2-C TS2-Retrieval'!A68</f>
        <v/>
      </c>
      <c r="B389" s="239">
        <f>'L2-C TS2-Retrieval'!C68&amp;CHAR(10)&amp;"["&amp;'L2-C TS2-Retrieval'!B68&amp;" · "&amp;'L2-C TS2-Retrieval'!G68&amp;"]"</f>
        <v/>
      </c>
      <c r="C389" s="240">
        <f>IF('L2-C TS2-Retrieval'!I68=0,"Info only",IF('L2-C TS2-Retrieval'!H68="Yes","★ CRITICAL"&amp;CHAR(10),IF('L2-C TS2-Retrieval'!H68="★ subs","★ critical sub-items"&amp;CHAR(10),""))&amp;'L2-C TS2-Retrieval'!J68&amp;" · W"&amp;'L2-C TS2-Retrieval'!I68)</f>
        <v/>
      </c>
      <c r="D389" s="226">
        <f>IF('L2-C TS2-Retrieval'!I68=0,"— Not scored",IF('L2-C TS2-Retrieval'!J68="Tier",IF('L2-C TS2-Retrieval'!M68="Fully integrated","✓ FULLY INTEGRATED",IF('L2-C TS2-Retrieval'!M68="Not Met","✗ NOT MET",IF('L2-C TS2-Retrieval'!M68="Not Tested","○ NOT TESTED","◐ "&amp;UPPER('L2-C TS2-Retrieval'!M68)))),IF('L2-C TS2-Retrieval'!M68="Met","✓ MET",IF('L2-C TS2-Retrieval'!M68="Not Met","✗ NOT MET",IF('L2-C TS2-Retrieval'!M68="N/A","— N/A",IF('L2-C TS2-Retrieval'!M68="Counted",IF(AND('L2-C TS2-Retrieval'!N68&gt;=1,'L2-C TS2-Retrieval'!S68=0),"✓ MET",IF('L2-C TS2-Retrieval'!J68="All-or-nothing","✗ NOT MET",IF('L2-C TS2-Retrieval'!S68=1,"✗ NOT MET (★)","◐ PARTIAL")))&amp;CHAR(10)&amp;"("&amp;'L2-C TS2-Retrieval'!L68&amp;" of "&amp;'L2-C TS2-Retrieval'!K68&amp;")","○ NOT TESTED"))))))</f>
        <v/>
      </c>
      <c r="E389" s="241">
        <f>IF('L2-C TS2-Retrieval'!N68="","—",'L2-C TS2-Retrieval'!N68)</f>
        <v/>
      </c>
      <c r="F389" s="223">
        <f>'L2-C TS2-Retrieval'!O68&amp;IF('L2-C TS2-Retrieval'!P68&lt;&gt;"",CHAR(10)&amp;"Notes: "&amp;'L2-C TS2-Retrieval'!P68,"")</f>
        <v/>
      </c>
    </row>
    <row r="390" ht="160" customHeight="1" s="125">
      <c r="A390" s="242" t="n"/>
      <c r="B390" s="243">
        <f>"Developer's Guide: "&amp;IFERROR(LEFT('L2-C TS2-Retrieval'!D68,FIND(CHAR(10)&amp;CHAR(10)&amp;"Purpose:",'L2-C TS2-Retrieval'!D68)-1),'L2-C TS2-Retrieval'!D68)</f>
        <v/>
      </c>
      <c r="C390" s="243">
        <f>"Validator's Guide: "&amp;'L2-C TS2-Retrieval'!E68&amp;CHAR(10)&amp;"Evidence: "&amp;'L2-C TS2-Retrieval'!F68</f>
        <v/>
      </c>
      <c r="D390" s="203" t="n"/>
      <c r="E390" s="203" t="n"/>
      <c r="F390" s="204" t="n"/>
    </row>
    <row r="391" ht="16" customHeight="1" s="125">
      <c r="A391" s="244">
        <f>'L2-C TS2-Retrieval'!A69</f>
        <v/>
      </c>
      <c r="B391" s="245">
        <f>"   ↳  "&amp;IF('L2-C TS2-Retrieval'!H69="Yes","★ ","")&amp;'L2-C TS2-Retrieval'!C69</f>
        <v/>
      </c>
      <c r="C391" s="204" t="n"/>
      <c r="D391" s="240">
        <f>IF('L2-C TS2-Retrieval'!M69="Met","✓ Met",IF('L2-C TS2-Retrieval'!M69="Not Met","✗ Not met",IF('L2-C TS2-Retrieval'!M69="N/A","— N/A","○ Not tested")))</f>
        <v/>
      </c>
      <c r="E391" s="245" t="n"/>
      <c r="F391" s="245">
        <f>IF('L2-C TS2-Retrieval'!P69&lt;&gt;"",'L2-C TS2-Retrieval'!P69,"")</f>
        <v/>
      </c>
    </row>
    <row r="392" ht="29" customHeight="1" s="125">
      <c r="A392" s="244">
        <f>'L2-C TS2-Retrieval'!A70</f>
        <v/>
      </c>
      <c r="B392" s="245">
        <f>"   ↳  "&amp;IF('L2-C TS2-Retrieval'!H70="Yes","★ ","")&amp;'L2-C TS2-Retrieval'!C70</f>
        <v/>
      </c>
      <c r="C392" s="204" t="n"/>
      <c r="D392" s="240">
        <f>IF('L2-C TS2-Retrieval'!M70="Met","✓ Met",IF('L2-C TS2-Retrieval'!M70="Not Met","✗ Not met",IF('L2-C TS2-Retrieval'!M70="N/A","— N/A","○ Not tested")))</f>
        <v/>
      </c>
      <c r="E392" s="245" t="n"/>
      <c r="F392" s="245">
        <f>IF('L2-C TS2-Retrieval'!P70&lt;&gt;"",'L2-C TS2-Retrieval'!P70,"")</f>
        <v/>
      </c>
    </row>
    <row r="393" ht="16" customHeight="1" s="125">
      <c r="A393" s="244">
        <f>'L2-C TS2-Retrieval'!A71</f>
        <v/>
      </c>
      <c r="B393" s="245">
        <f>"   ↳  "&amp;IF('L2-C TS2-Retrieval'!H71="Yes","★ ","")&amp;'L2-C TS2-Retrieval'!C71</f>
        <v/>
      </c>
      <c r="C393" s="204" t="n"/>
      <c r="D393" s="240">
        <f>IF('L2-C TS2-Retrieval'!M71="Met","✓ Met",IF('L2-C TS2-Retrieval'!M71="Not Met","✗ Not met",IF('L2-C TS2-Retrieval'!M71="N/A","— N/A","○ Not tested")))</f>
        <v/>
      </c>
      <c r="E393" s="245" t="n"/>
      <c r="F393" s="245">
        <f>IF('L2-C TS2-Retrieval'!P71&lt;&gt;"",'L2-C TS2-Retrieval'!P71,"")</f>
        <v/>
      </c>
    </row>
    <row r="394" ht="16" customHeight="1" s="125">
      <c r="A394" s="244">
        <f>'L2-C TS2-Retrieval'!A72</f>
        <v/>
      </c>
      <c r="B394" s="245">
        <f>"   ↳  "&amp;IF('L2-C TS2-Retrieval'!H72="Yes","★ ","")&amp;'L2-C TS2-Retrieval'!C72</f>
        <v/>
      </c>
      <c r="C394" s="204" t="n"/>
      <c r="D394" s="240">
        <f>IF('L2-C TS2-Retrieval'!M72="Met","✓ Met",IF('L2-C TS2-Retrieval'!M72="Not Met","✗ Not met",IF('L2-C TS2-Retrieval'!M72="N/A","— N/A","○ Not tested")))</f>
        <v/>
      </c>
      <c r="E394" s="245" t="n"/>
      <c r="F394" s="245">
        <f>IF('L2-C TS2-Retrieval'!P72&lt;&gt;"",'L2-C TS2-Retrieval'!P72,"")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"&amp;TEXT('L2-D System Resilience'!D4,"0.0%")&amp;"  ·  Threshold: "&amp;TEXT('L2-D System Resilience'!D5,"0%")&amp;"  ·  Critical not met: "&amp;'L2-D System Resilience'!D6&amp;"  ·  Not tested: "&amp;'L2-D System Resilience'!F4&amp;" of "&amp;'L2-D System Resilience'!F7&amp;"  ·  Status: "&amp;'L2-D System Resilience'!F6</f>
        <v/>
      </c>
      <c r="B396" s="203" t="n"/>
      <c r="C396" s="203" t="n"/>
      <c r="D396" s="203" t="n"/>
      <c r="E396" s="203" t="n"/>
      <c r="F396" s="204" t="n"/>
    </row>
    <row r="397" ht="69" customHeight="1" s="125">
      <c r="A397" s="238">
        <f>'L2-D System Resilience'!A10</f>
        <v/>
      </c>
      <c r="B397" s="239">
        <f>'L2-D System Resilience'!C10&amp;CHAR(10)&amp;"["&amp;'L2-D System Resilience'!B10&amp;" · "&amp;'L2-D System Resilience'!G10&amp;"]"</f>
        <v/>
      </c>
      <c r="C397" s="240">
        <f>IF('L2-D System Resilience'!I10=0,"Info only",IF('L2-D System Resilience'!H10="Yes","★ CRITICAL"&amp;CHAR(10),IF('L2-D System Resilience'!H10="★ subs","★ critical sub-items"&amp;CHAR(10),""))&amp;'L2-D System Resilience'!J10&amp;" · W"&amp;'L2-D System Resilience'!I10)</f>
        <v/>
      </c>
      <c r="D397" s="226">
        <f>IF('L2-D System Resilience'!I10=0,"— Not scored",IF('L2-D System Resilience'!J10="Tier",IF('L2-D System Resilience'!M10="Fully integrated","✓ FULLY INTEGRATED",IF('L2-D System Resilience'!M10="Not Met","✗ NOT MET",IF('L2-D System Resilience'!M10="Not Tested","○ NOT TESTED","◐ "&amp;UPPER('L2-D System Resilience'!M10)))),IF('L2-D System Resilience'!M10="Met","✓ MET",IF('L2-D System Resilience'!M10="Not Met","✗ NOT MET",IF('L2-D System Resilience'!M10="N/A","— N/A",IF('L2-D System Resilience'!M10="Counted",IF(AND('L2-D System Resilience'!N10&gt;=1,'L2-D System Resilience'!S10=0),"✓ MET",IF('L2-D System Resilience'!J10="All-or-nothing","✗ NOT MET",IF('L2-D System Resilience'!S10=1,"✗ NOT MET (★)","◐ PARTIAL")))&amp;CHAR(10)&amp;"("&amp;'L2-D System Resilience'!L10&amp;" of "&amp;'L2-D System Resilience'!K10&amp;")","○ NOT TESTED"))))))</f>
        <v/>
      </c>
      <c r="E397" s="241">
        <f>IF('L2-D System Resilience'!N10="","—",'L2-D System Resilience'!N10)</f>
        <v/>
      </c>
      <c r="F397" s="223">
        <f>'L2-D System Resilience'!O10&amp;IF('L2-D System Resilience'!P10&lt;&gt;"",CHAR(10)&amp;"Notes: "&amp;'L2-D System Resilience'!P10,"")</f>
        <v/>
      </c>
    </row>
    <row r="398" ht="112" customHeight="1" s="125">
      <c r="A398" s="242" t="n"/>
      <c r="B398" s="243">
        <f>"Developer's Guide: "&amp;IFERROR(LEFT('L2-D System Resilience'!D10,FIND(CHAR(10)&amp;CHAR(10)&amp;"Purpose:",'L2-D System Resilience'!D10)-1),'L2-D System Resilience'!D10)</f>
        <v/>
      </c>
      <c r="C398" s="243">
        <f>"Validator's Guide: "&amp;'L2-D System Resilience'!E10&amp;CHAR(10)&amp;"Evidence: "&amp;'L2-D System Resilience'!F10</f>
        <v/>
      </c>
      <c r="D398" s="203" t="n"/>
      <c r="E398" s="203" t="n"/>
      <c r="F398" s="204" t="n"/>
    </row>
    <row r="399" ht="43" customHeight="1" s="125">
      <c r="A399" s="238">
        <f>'L2-D System Resilience'!A11</f>
        <v/>
      </c>
      <c r="B399" s="239">
        <f>'L2-D System Resilience'!C11&amp;CHAR(10)&amp;"["&amp;'L2-D System Resilience'!B11&amp;" · "&amp;'L2-D System Resilience'!G11&amp;"]"</f>
        <v/>
      </c>
      <c r="C399" s="240">
        <f>IF('L2-D System Resilience'!I11=0,"Info only",IF('L2-D System Resilience'!H11="Yes","★ CRITICAL"&amp;CHAR(10),IF('L2-D System Resilience'!H11="★ subs","★ critical sub-items"&amp;CHAR(10),""))&amp;'L2-D System Resilience'!J11&amp;" · W"&amp;'L2-D System Resilience'!I11)</f>
        <v/>
      </c>
      <c r="D399" s="226">
        <f>IF('L2-D System Resilience'!I11=0,"— Not scored",IF('L2-D System Resilience'!J11="Tier",IF('L2-D System Resilience'!M11="Fully integrated","✓ FULLY INTEGRATED",IF('L2-D System Resilience'!M11="Not Met","✗ NOT MET",IF('L2-D System Resilience'!M11="Not Tested","○ NOT TESTED","◐ "&amp;UPPER('L2-D System Resilience'!M11)))),IF('L2-D System Resilience'!M11="Met","✓ MET",IF('L2-D System Resilience'!M11="Not Met","✗ NOT MET",IF('L2-D System Resilience'!M11="N/A","— N/A",IF('L2-D System Resilience'!M11="Counted",IF(AND('L2-D System Resilience'!N11&gt;=1,'L2-D System Resilience'!S11=0),"✓ MET",IF('L2-D System Resilience'!J11="All-or-nothing","✗ NOT MET",IF('L2-D System Resilience'!S11=1,"✗ NOT MET (★)","◐ PARTIAL")))&amp;CHAR(10)&amp;"("&amp;'L2-D System Resilience'!L11&amp;" of "&amp;'L2-D System Resilience'!K11&amp;")","○ NOT TESTED"))))))</f>
        <v/>
      </c>
      <c r="E399" s="241">
        <f>IF('L2-D System Resilience'!N11="","—",'L2-D System Resilience'!N11)</f>
        <v/>
      </c>
      <c r="F399" s="223">
        <f>'L2-D System Resilience'!O11&amp;IF('L2-D System Resilience'!P11&lt;&gt;"",CHAR(10)&amp;"Notes: "&amp;'L2-D System Resilience'!P11,"")</f>
        <v/>
      </c>
    </row>
    <row r="400" ht="88" customHeight="1" s="125">
      <c r="A400" s="242" t="n"/>
      <c r="B400" s="243">
        <f>"Developer's Guide: "&amp;IFERROR(LEFT('L2-D System Resilience'!D11,FIND(CHAR(10)&amp;CHAR(10)&amp;"Purpose:",'L2-D System Resilience'!D11)-1),'L2-D System Resilience'!D11)</f>
        <v/>
      </c>
      <c r="C400" s="243">
        <f>"Validator's Guide: "&amp;'L2-D System Resilience'!E11&amp;CHAR(10)&amp;"Evidence: "&amp;'L2-D System Resilience'!F11</f>
        <v/>
      </c>
      <c r="D400" s="203" t="n"/>
      <c r="E400" s="203" t="n"/>
      <c r="F400" s="204" t="n"/>
    </row>
    <row r="401" ht="69" customHeight="1" s="125">
      <c r="A401" s="238">
        <f>'L2-D System Resilience'!A12</f>
        <v/>
      </c>
      <c r="B401" s="239">
        <f>'L2-D System Resilience'!C12&amp;CHAR(10)&amp;"["&amp;'L2-D System Resilience'!B12&amp;" · "&amp;'L2-D System Resilience'!G12&amp;"]"</f>
        <v/>
      </c>
      <c r="C401" s="240">
        <f>IF('L2-D System Resilience'!I12=0,"Info only",IF('L2-D System Resilience'!H12="Yes","★ CRITICAL"&amp;CHAR(10),IF('L2-D System Resilience'!H12="★ subs","★ critical sub-items"&amp;CHAR(10),""))&amp;'L2-D System Resilience'!J12&amp;" · W"&amp;'L2-D System Resilience'!I12)</f>
        <v/>
      </c>
      <c r="D401" s="226">
        <f>IF('L2-D System Resilience'!I12=0,"— Not scored",IF('L2-D System Resilience'!J12="Tier",IF('L2-D System Resilience'!M12="Fully integrated","✓ FULLY INTEGRATED",IF('L2-D System Resilience'!M12="Not Met","✗ NOT MET",IF('L2-D System Resilience'!M12="Not Tested","○ NOT TESTED","◐ "&amp;UPPER('L2-D System Resilience'!M12)))),IF('L2-D System Resilience'!M12="Met","✓ MET",IF('L2-D System Resilience'!M12="Not Met","✗ NOT MET",IF('L2-D System Resilience'!M12="N/A","— N/A",IF('L2-D System Resilience'!M12="Counted",IF(AND('L2-D System Resilience'!N12&gt;=1,'L2-D System Resilience'!S12=0),"✓ MET",IF('L2-D System Resilience'!J12="All-or-nothing","✗ NOT MET",IF('L2-D System Resilience'!S12=1,"✗ NOT MET (★)","◐ PARTIAL")))&amp;CHAR(10)&amp;"("&amp;'L2-D System Resilience'!L12&amp;" of "&amp;'L2-D System Resilience'!K12&amp;")","○ NOT TESTED"))))))</f>
        <v/>
      </c>
      <c r="E401" s="241">
        <f>IF('L2-D System Resilience'!N12="","—",'L2-D System Resilience'!N12)</f>
        <v/>
      </c>
      <c r="F401" s="223">
        <f>'L2-D System Resilience'!O12&amp;IF('L2-D System Resilience'!P12&lt;&gt;"",CHAR(10)&amp;"Notes: "&amp;'L2-D System Resilience'!P12,"")</f>
        <v/>
      </c>
    </row>
    <row r="402" ht="64" customHeight="1" s="125">
      <c r="A402" s="242" t="n"/>
      <c r="B402" s="243">
        <f>"Developer's Guide: "&amp;IFERROR(LEFT('L2-D System Resilience'!D12,FIND(CHAR(10)&amp;CHAR(10)&amp;"Purpose:",'L2-D System Resilience'!D12)-1),'L2-D System Resilience'!D12)</f>
        <v/>
      </c>
      <c r="C402" s="243">
        <f>"Validator's Guide: "&amp;'L2-D System Resilience'!E12&amp;CHAR(10)&amp;"Evidence: "&amp;'L2-D System Resilience'!F12</f>
        <v/>
      </c>
      <c r="D402" s="203" t="n"/>
      <c r="E402" s="203" t="n"/>
      <c r="F402" s="204" t="n"/>
    </row>
    <row r="403" ht="16" customHeight="1" s="125">
      <c r="A403" s="244">
        <f>'L2-D System Resilience'!A13</f>
        <v/>
      </c>
      <c r="B403" s="245">
        <f>"   ↳  "&amp;IF('L2-D System Resilience'!H13="Yes","★ ","")&amp;'L2-D System Resilience'!C13</f>
        <v/>
      </c>
      <c r="C403" s="204" t="n"/>
      <c r="D403" s="240">
        <f>IF('L2-D System Resilience'!M13="Met","✓ Met",IF('L2-D System Resilience'!M13="Not Met","✗ Not met",IF('L2-D System Resilience'!M13="N/A","— N/A","○ Not tested")))</f>
        <v/>
      </c>
      <c r="E403" s="245" t="n"/>
      <c r="F403" s="245">
        <f>IF('L2-D System Resilience'!P13&lt;&gt;"",'L2-D System Resilience'!P13,"")</f>
        <v/>
      </c>
    </row>
    <row r="404" ht="16" customHeight="1" s="125">
      <c r="A404" s="244">
        <f>'L2-D System Resilience'!A14</f>
        <v/>
      </c>
      <c r="B404" s="245">
        <f>"   ↳  "&amp;IF('L2-D System Resilience'!H14="Yes","★ ","")&amp;'L2-D System Resilience'!C14</f>
        <v/>
      </c>
      <c r="C404" s="204" t="n"/>
      <c r="D404" s="240">
        <f>IF('L2-D System Resilience'!M14="Met","✓ Met",IF('L2-D System Resilience'!M14="Not Met","✗ Not met",IF('L2-D System Resilience'!M14="N/A","— N/A","○ Not tested")))</f>
        <v/>
      </c>
      <c r="E404" s="245" t="n"/>
      <c r="F404" s="245">
        <f>IF('L2-D System Resilience'!P14&lt;&gt;"",'L2-D System Resilience'!P14,"")</f>
        <v/>
      </c>
    </row>
    <row r="405" ht="16" customHeight="1" s="125">
      <c r="A405" s="244">
        <f>'L2-D System Resilience'!A15</f>
        <v/>
      </c>
      <c r="B405" s="245">
        <f>"   ↳  "&amp;IF('L2-D System Resilience'!H15="Yes","★ ","")&amp;'L2-D System Resilience'!C15</f>
        <v/>
      </c>
      <c r="C405" s="204" t="n"/>
      <c r="D405" s="240">
        <f>IF('L2-D System Resilience'!M15="Met","✓ Met",IF('L2-D System Resilience'!M15="Not Met","✗ Not met",IF('L2-D System Resilience'!M15="N/A","— N/A","○ Not tested")))</f>
        <v/>
      </c>
      <c r="E405" s="245" t="n"/>
      <c r="F405" s="245">
        <f>IF('L2-D System Resilience'!P15&lt;&gt;"",'L2-D System Resilience'!P15,"")</f>
        <v/>
      </c>
    </row>
    <row r="406" ht="29" customHeight="1" s="125">
      <c r="A406" s="244">
        <f>'L2-D System Resilience'!A16</f>
        <v/>
      </c>
      <c r="B406" s="245">
        <f>"   ↳  "&amp;IF('L2-D System Resilience'!H16="Yes","★ ","")&amp;'L2-D System Resilience'!C16</f>
        <v/>
      </c>
      <c r="C406" s="204" t="n"/>
      <c r="D406" s="240">
        <f>IF('L2-D System Resilience'!M16="Met","✓ Met",IF('L2-D System Resilience'!M16="Not Met","✗ Not met",IF('L2-D System Resilience'!M16="N/A","— N/A","○ Not tested")))</f>
        <v/>
      </c>
      <c r="E406" s="245" t="n"/>
      <c r="F406" s="245">
        <f>IF('L2-D System Resilience'!P16&lt;&gt;"",'L2-D System Resilience'!P16,"")</f>
        <v/>
      </c>
    </row>
    <row r="407" ht="30" customHeight="1" s="125">
      <c r="A407" s="238">
        <f>'L2-D System Resilience'!A17</f>
        <v/>
      </c>
      <c r="B407" s="239">
        <f>'L2-D System Resilience'!C17&amp;CHAR(10)&amp;"["&amp;'L2-D System Resilience'!B17&amp;" · "&amp;'L2-D System Resilience'!G17&amp;"]"</f>
        <v/>
      </c>
      <c r="C407" s="240">
        <f>IF('L2-D System Resilience'!I17=0,"Info only",IF('L2-D System Resilience'!H17="Yes","★ CRITICAL"&amp;CHAR(10),IF('L2-D System Resilience'!H17="★ subs","★ critical sub-items"&amp;CHAR(10),""))&amp;'L2-D System Resilience'!J17&amp;" · W"&amp;'L2-D System Resilience'!I17)</f>
        <v/>
      </c>
      <c r="D407" s="226">
        <f>IF('L2-D System Resilience'!I17=0,"— Not scored",IF('L2-D System Resilience'!J17="Tier",IF('L2-D System Resilience'!M17="Fully integrated","✓ FULLY INTEGRATED",IF('L2-D System Resilience'!M17="Not Met","✗ NOT MET",IF('L2-D System Resilience'!M17="Not Tested","○ NOT TESTED","◐ "&amp;UPPER('L2-D System Resilience'!M17)))),IF('L2-D System Resilience'!M17="Met","✓ MET",IF('L2-D System Resilience'!M17="Not Met","✗ NOT MET",IF('L2-D System Resilience'!M17="N/A","— N/A",IF('L2-D System Resilience'!M17="Counted",IF(AND('L2-D System Resilience'!N17&gt;=1,'L2-D System Resilience'!S17=0),"✓ MET",IF('L2-D System Resilience'!J17="All-or-nothing","✗ NOT MET",IF('L2-D System Resilience'!S17=1,"✗ NOT MET (★)","◐ PARTIAL")))&amp;CHAR(10)&amp;"("&amp;'L2-D System Resilience'!L17&amp;" of "&amp;'L2-D System Resilience'!K17&amp;")","○ NOT TESTED"))))))</f>
        <v/>
      </c>
      <c r="E407" s="241">
        <f>IF('L2-D System Resilience'!N17="","—",'L2-D System Resilience'!N17)</f>
        <v/>
      </c>
      <c r="F407" s="223">
        <f>'L2-D System Resilience'!O17&amp;IF('L2-D System Resilience'!P17&lt;&gt;"",CHAR(10)&amp;"Notes: "&amp;'L2-D System Resilience'!P17,"")</f>
        <v/>
      </c>
    </row>
    <row r="408" ht="88" customHeight="1" s="125">
      <c r="A408" s="242" t="n"/>
      <c r="B408" s="243">
        <f>"Developer's Guide: "&amp;IFERROR(LEFT('L2-D System Resilience'!D17,FIND(CHAR(10)&amp;CHAR(10)&amp;"Purpose:",'L2-D System Resilience'!D17)-1),'L2-D System Resilience'!D17)</f>
        <v/>
      </c>
      <c r="C408" s="243">
        <f>"Validator's Guide: "&amp;'L2-D System Resilience'!E17&amp;CHAR(10)&amp;"Evidence: "&amp;'L2-D System Resilience'!F17</f>
        <v/>
      </c>
      <c r="D408" s="203" t="n"/>
      <c r="E408" s="203" t="n"/>
      <c r="F408" s="204" t="n"/>
    </row>
    <row r="409" ht="16" customHeight="1" s="125">
      <c r="A409" s="244">
        <f>'L2-D System Resilience'!A18</f>
        <v/>
      </c>
      <c r="B409" s="245">
        <f>"   ↳  "&amp;IF('L2-D System Resilience'!H18="Yes","★ ","")&amp;'L2-D System Resilience'!C18</f>
        <v/>
      </c>
      <c r="C409" s="204" t="n"/>
      <c r="D409" s="240">
        <f>IF('L2-D System Resilience'!M18="Met","✓ Met",IF('L2-D System Resilience'!M18="Not Met","✗ Not met",IF('L2-D System Resilience'!M18="N/A","— N/A","○ Not tested")))</f>
        <v/>
      </c>
      <c r="E409" s="245" t="n"/>
      <c r="F409" s="245">
        <f>IF('L2-D System Resilience'!P18&lt;&gt;"",'L2-D System Resilience'!P18,"")</f>
        <v/>
      </c>
    </row>
    <row r="410" ht="16" customHeight="1" s="125">
      <c r="A410" s="244">
        <f>'L2-D System Resilience'!A19</f>
        <v/>
      </c>
      <c r="B410" s="245">
        <f>"   ↳  "&amp;IF('L2-D System Resilience'!H19="Yes","★ ","")&amp;'L2-D System Resilience'!C19</f>
        <v/>
      </c>
      <c r="C410" s="204" t="n"/>
      <c r="D410" s="240">
        <f>IF('L2-D System Resilience'!M19="Met","✓ Met",IF('L2-D System Resilience'!M19="Not Met","✗ Not met",IF('L2-D System Resilience'!M19="N/A","— N/A","○ Not tested")))</f>
        <v/>
      </c>
      <c r="E410" s="245" t="n"/>
      <c r="F410" s="245">
        <f>IF('L2-D System Resilience'!P19&lt;&gt;"",'L2-D System Resilience'!P19,"")</f>
        <v/>
      </c>
    </row>
    <row r="411" ht="16" customHeight="1" s="125">
      <c r="A411" s="244">
        <f>'L2-D System Resilience'!A20</f>
        <v/>
      </c>
      <c r="B411" s="245">
        <f>"   ↳  "&amp;IF('L2-D System Resilience'!H20="Yes","★ ","")&amp;'L2-D System Resilience'!C20</f>
        <v/>
      </c>
      <c r="C411" s="204" t="n"/>
      <c r="D411" s="240">
        <f>IF('L2-D System Resilience'!M20="Met","✓ Met",IF('L2-D System Resilience'!M20="Not Met","✗ Not met",IF('L2-D System Resilience'!M20="N/A","— N/A","○ Not tested")))</f>
        <v/>
      </c>
      <c r="E411" s="245" t="n"/>
      <c r="F411" s="245">
        <f>IF('L2-D System Resilience'!P20&lt;&gt;"",'L2-D System Resilience'!P20,"")</f>
        <v/>
      </c>
    </row>
    <row r="412" ht="16" customHeight="1" s="125">
      <c r="A412" s="244">
        <f>'L2-D System Resilience'!A21</f>
        <v/>
      </c>
      <c r="B412" s="245">
        <f>"   ↳  "&amp;IF('L2-D System Resilience'!H21="Yes","★ ","")&amp;'L2-D System Resilience'!C21</f>
        <v/>
      </c>
      <c r="C412" s="204" t="n"/>
      <c r="D412" s="240">
        <f>IF('L2-D System Resilience'!M21="Met","✓ Met",IF('L2-D System Resilience'!M21="Not Met","✗ Not met",IF('L2-D System Resilience'!M21="N/A","— N/A","○ Not tested")))</f>
        <v/>
      </c>
      <c r="E412" s="245" t="n"/>
      <c r="F412" s="245">
        <f>IF('L2-D System Resilience'!P21&lt;&gt;"",'L2-D System Resilience'!P21,"")</f>
        <v/>
      </c>
    </row>
    <row r="413" ht="16" customHeight="1" s="125">
      <c r="A413" s="244">
        <f>'L2-D System Resilience'!A22</f>
        <v/>
      </c>
      <c r="B413" s="245">
        <f>"   ↳  "&amp;IF('L2-D System Resilience'!H22="Yes","★ ","")&amp;'L2-D System Resilience'!C22</f>
        <v/>
      </c>
      <c r="C413" s="204" t="n"/>
      <c r="D413" s="240">
        <f>IF('L2-D System Resilience'!M22="Met","✓ Met",IF('L2-D System Resilience'!M22="Not Met","✗ Not met",IF('L2-D System Resilience'!M22="N/A","— N/A","○ Not tested")))</f>
        <v/>
      </c>
      <c r="E413" s="245" t="n"/>
      <c r="F413" s="245">
        <f>IF('L2-D System Resilience'!P22&lt;&gt;"",'L2-D System Resilience'!P22,"")</f>
        <v/>
      </c>
    </row>
    <row r="414" ht="16" customHeight="1" s="125">
      <c r="A414" s="244">
        <f>'L2-D System Resilience'!A23</f>
        <v/>
      </c>
      <c r="B414" s="245">
        <f>"   ↳  "&amp;IF('L2-D System Resilience'!H23="Yes","★ ","")&amp;'L2-D System Resilience'!C23</f>
        <v/>
      </c>
      <c r="C414" s="204" t="n"/>
      <c r="D414" s="240">
        <f>IF('L2-D System Resilience'!M23="Met","✓ Met",IF('L2-D System Resilience'!M23="Not Met","✗ Not met",IF('L2-D System Resilience'!M23="N/A","— N/A","○ Not tested")))</f>
        <v/>
      </c>
      <c r="E414" s="245" t="n"/>
      <c r="F414" s="245">
        <f>IF('L2-D System Resilience'!P23&lt;&gt;"",'L2-D System Resilience'!P23,"")</f>
        <v/>
      </c>
    </row>
    <row r="415" ht="16" customHeight="1" s="125">
      <c r="A415" s="244">
        <f>'L2-D System Resilience'!A24</f>
        <v/>
      </c>
      <c r="B415" s="245">
        <f>"   ↳  "&amp;IF('L2-D System Resilience'!H24="Yes","★ ","")&amp;'L2-D System Resilience'!C24</f>
        <v/>
      </c>
      <c r="C415" s="204" t="n"/>
      <c r="D415" s="240">
        <f>IF('L2-D System Resilience'!M24="Met","✓ Met",IF('L2-D System Resilience'!M24="Not Met","✗ Not met",IF('L2-D System Resilience'!M24="N/A","— N/A","○ Not tested")))</f>
        <v/>
      </c>
      <c r="E415" s="245" t="n"/>
      <c r="F415" s="245">
        <f>IF('L2-D System Resilience'!P24&lt;&gt;"",'L2-D System Resilience'!P24,"")</f>
        <v/>
      </c>
    </row>
    <row r="416" ht="16" customHeight="1" s="125">
      <c r="A416" s="244">
        <f>'L2-D System Resilience'!A25</f>
        <v/>
      </c>
      <c r="B416" s="245">
        <f>"   ↳  "&amp;IF('L2-D System Resilience'!H25="Yes","★ ","")&amp;'L2-D System Resilience'!C25</f>
        <v/>
      </c>
      <c r="C416" s="204" t="n"/>
      <c r="D416" s="240">
        <f>IF('L2-D System Resilience'!M25="Met","✓ Met",IF('L2-D System Resilience'!M25="Not Met","✗ Not met",IF('L2-D System Resilience'!M25="N/A","— N/A","○ Not tested")))</f>
        <v/>
      </c>
      <c r="E416" s="245" t="n"/>
      <c r="F416" s="245">
        <f>IF('L2-D System Resilience'!P25&lt;&gt;"",'L2-D System Resilience'!P25,"")</f>
        <v/>
      </c>
    </row>
    <row r="417" ht="16" customHeight="1" s="125">
      <c r="A417" s="244">
        <f>'L2-D System Resilience'!A26</f>
        <v/>
      </c>
      <c r="B417" s="245">
        <f>"   ↳  "&amp;IF('L2-D System Resilience'!H26="Yes","★ ","")&amp;'L2-D System Resilience'!C26</f>
        <v/>
      </c>
      <c r="C417" s="204" t="n"/>
      <c r="D417" s="240">
        <f>IF('L2-D System Resilience'!M26="Met","✓ Met",IF('L2-D System Resilience'!M26="Not Met","✗ Not met",IF('L2-D System Resilience'!M26="N/A","— N/A","○ Not tested")))</f>
        <v/>
      </c>
      <c r="E417" s="245" t="n"/>
      <c r="F417" s="245">
        <f>IF('L2-D System Resilience'!P26&lt;&gt;"",'L2-D System Resilience'!P26,"")</f>
        <v/>
      </c>
    </row>
    <row r="418" ht="16" customHeight="1" s="125">
      <c r="A418" s="244">
        <f>'L2-D System Resilience'!A27</f>
        <v/>
      </c>
      <c r="B418" s="245">
        <f>"   ↳  "&amp;IF('L2-D System Resilience'!H27="Yes","★ ","")&amp;'L2-D System Resilience'!C27</f>
        <v/>
      </c>
      <c r="C418" s="204" t="n"/>
      <c r="D418" s="240">
        <f>IF('L2-D System Resilience'!M27="Met","✓ Met",IF('L2-D System Resilience'!M27="Not Met","✗ Not met",IF('L2-D System Resilience'!M27="N/A","— N/A","○ Not tested")))</f>
        <v/>
      </c>
      <c r="E418" s="245" t="n"/>
      <c r="F418" s="245">
        <f>IF('L2-D System Resilience'!P27&lt;&gt;"",'L2-D System Resilience'!P27,"")</f>
        <v/>
      </c>
    </row>
    <row r="419" ht="30" customHeight="1" s="125">
      <c r="A419" s="238">
        <f>'L2-D System Resilience'!A28</f>
        <v/>
      </c>
      <c r="B419" s="239">
        <f>'L2-D System Resilience'!C28&amp;CHAR(10)&amp;"["&amp;'L2-D System Resilience'!B28&amp;" · "&amp;'L2-D System Resilience'!G28&amp;"]"</f>
        <v/>
      </c>
      <c r="C419" s="240">
        <f>IF('L2-D System Resilience'!I28=0,"Info only",IF('L2-D System Resilience'!H28="Yes","★ CRITICAL"&amp;CHAR(10),IF('L2-D System Resilience'!H28="★ subs","★ critical sub-items"&amp;CHAR(10),""))&amp;'L2-D System Resilience'!J28&amp;" · W"&amp;'L2-D System Resilience'!I28)</f>
        <v/>
      </c>
      <c r="D419" s="226">
        <f>IF('L2-D System Resilience'!I28=0,"— Not scored",IF('L2-D System Resilience'!J28="Tier",IF('L2-D System Resilience'!M28="Fully integrated","✓ FULLY INTEGRATED",IF('L2-D System Resilience'!M28="Not Met","✗ NOT MET",IF('L2-D System Resilience'!M28="Not Tested","○ NOT TESTED","◐ "&amp;UPPER('L2-D System Resilience'!M28)))),IF('L2-D System Resilience'!M28="Met","✓ MET",IF('L2-D System Resilience'!M28="Not Met","✗ NOT MET",IF('L2-D System Resilience'!M28="N/A","— N/A",IF('L2-D System Resilience'!M28="Counted",IF(AND('L2-D System Resilience'!N28&gt;=1,'L2-D System Resilience'!S28=0),"✓ MET",IF('L2-D System Resilience'!J28="All-or-nothing","✗ NOT MET",IF('L2-D System Resilience'!S28=1,"✗ NOT MET (★)","◐ PARTIAL")))&amp;CHAR(10)&amp;"("&amp;'L2-D System Resilience'!L28&amp;" of "&amp;'L2-D System Resilience'!K28&amp;")","○ NOT TESTED"))))))</f>
        <v/>
      </c>
      <c r="E419" s="241">
        <f>IF('L2-D System Resilience'!N28="","—",'L2-D System Resilience'!N28)</f>
        <v/>
      </c>
      <c r="F419" s="223">
        <f>'L2-D System Resilience'!O28&amp;IF('L2-D System Resilience'!P28&lt;&gt;"",CHAR(10)&amp;"Notes: "&amp;'L2-D System Resilience'!P28,"")</f>
        <v/>
      </c>
    </row>
    <row r="420" ht="64" customHeight="1" s="125">
      <c r="A420" s="242" t="n"/>
      <c r="B420" s="243">
        <f>"Developer's Guide: "&amp;IFERROR(LEFT('L2-D System Resilience'!D28,FIND(CHAR(10)&amp;CHAR(10)&amp;"Purpose:",'L2-D System Resilience'!D28)-1),'L2-D System Resilience'!D28)</f>
        <v/>
      </c>
      <c r="C420" s="243">
        <f>"Validator's Guide: "&amp;'L2-D System Resilience'!E28&amp;CHAR(10)&amp;"Evidence: "&amp;'L2-D System Resilience'!F28</f>
        <v/>
      </c>
      <c r="D420" s="203" t="n"/>
      <c r="E420" s="203" t="n"/>
      <c r="F420" s="204" t="n"/>
    </row>
    <row r="421" ht="56" customHeight="1" s="125">
      <c r="A421" s="238">
        <f>'L2-D System Resilience'!A29</f>
        <v/>
      </c>
      <c r="B421" s="239">
        <f>'L2-D System Resilience'!C29&amp;CHAR(10)&amp;"["&amp;'L2-D System Resilience'!B29&amp;" · "&amp;'L2-D System Resilience'!G29&amp;"]"</f>
        <v/>
      </c>
      <c r="C421" s="240">
        <f>IF('L2-D System Resilience'!I29=0,"Info only",IF('L2-D System Resilience'!H29="Yes","★ CRITICAL"&amp;CHAR(10),IF('L2-D System Resilience'!H29="★ subs","★ critical sub-items"&amp;CHAR(10),""))&amp;'L2-D System Resilience'!J29&amp;" · W"&amp;'L2-D System Resilience'!I29)</f>
        <v/>
      </c>
      <c r="D421" s="226">
        <f>IF('L2-D System Resilience'!I29=0,"— Not scored",IF('L2-D System Resilience'!J29="Tier",IF('L2-D System Resilience'!M29="Fully integrated","✓ FULLY INTEGRATED",IF('L2-D System Resilience'!M29="Not Met","✗ NOT MET",IF('L2-D System Resilience'!M29="Not Tested","○ NOT TESTED","◐ "&amp;UPPER('L2-D System Resilience'!M29)))),IF('L2-D System Resilience'!M29="Met","✓ MET",IF('L2-D System Resilience'!M29="Not Met","✗ NOT MET",IF('L2-D System Resilience'!M29="N/A","— N/A",IF('L2-D System Resilience'!M29="Counted",IF(AND('L2-D System Resilience'!N29&gt;=1,'L2-D System Resilience'!S29=0),"✓ MET",IF('L2-D System Resilience'!J29="All-or-nothing","✗ NOT MET",IF('L2-D System Resilience'!S29=1,"✗ NOT MET (★)","◐ PARTIAL")))&amp;CHAR(10)&amp;"("&amp;'L2-D System Resilience'!L29&amp;" of "&amp;'L2-D System Resilience'!K29&amp;")","○ NOT TESTED"))))))</f>
        <v/>
      </c>
      <c r="E421" s="241">
        <f>IF('L2-D System Resilience'!N29="","—",'L2-D System Resilience'!N29)</f>
        <v/>
      </c>
      <c r="F421" s="223">
        <f>'L2-D System Resilience'!O29&amp;IF('L2-D System Resilience'!P29&lt;&gt;"",CHAR(10)&amp;"Notes: "&amp;'L2-D System Resilience'!P29,"")</f>
        <v/>
      </c>
    </row>
    <row r="422" ht="268" customHeight="1" s="125">
      <c r="A422" s="242" t="n"/>
      <c r="B422" s="243">
        <f>"Developer's Guide: "&amp;IFERROR(LEFT('L2-D System Resilience'!D29,FIND(CHAR(10)&amp;CHAR(10)&amp;"Purpose:",'L2-D System Resilience'!D29)-1),'L2-D System Resilience'!D29)</f>
        <v/>
      </c>
      <c r="C422" s="243">
        <f>"Validator's Guide: "&amp;'L2-D System Resilience'!E29&amp;CHAR(10)&amp;"Evidence: "&amp;'L2-D System Resilience'!F29</f>
        <v/>
      </c>
      <c r="D422" s="203" t="n"/>
      <c r="E422" s="203" t="n"/>
      <c r="F422" s="204" t="n"/>
    </row>
    <row r="423" ht="56" customHeight="1" s="125">
      <c r="A423" s="238">
        <f>'L2-D System Resilience'!A30</f>
        <v/>
      </c>
      <c r="B423" s="239">
        <f>'L2-D System Resilience'!C30&amp;CHAR(10)&amp;"["&amp;'L2-D System Resilience'!B30&amp;" · "&amp;'L2-D System Resilience'!G30&amp;"]"</f>
        <v/>
      </c>
      <c r="C423" s="240">
        <f>IF('L2-D System Resilience'!I30=0,"Info only",IF('L2-D System Resilience'!H30="Yes","★ CRITICAL"&amp;CHAR(10),IF('L2-D System Resilience'!H30="★ subs","★ critical sub-items"&amp;CHAR(10),""))&amp;'L2-D System Resilience'!J30&amp;" · W"&amp;'L2-D System Resilience'!I30)</f>
        <v/>
      </c>
      <c r="D423" s="226">
        <f>IF('L2-D System Resilience'!I30=0,"— Not scored",IF('L2-D System Resilience'!J30="Tier",IF('L2-D System Resilience'!M30="Fully integrated","✓ FULLY INTEGRATED",IF('L2-D System Resilience'!M30="Not Met","✗ NOT MET",IF('L2-D System Resilience'!M30="Not Tested","○ NOT TESTED","◐ "&amp;UPPER('L2-D System Resilience'!M30)))),IF('L2-D System Resilience'!M30="Met","✓ MET",IF('L2-D System Resilience'!M30="Not Met","✗ NOT MET",IF('L2-D System Resilience'!M30="N/A","— N/A",IF('L2-D System Resilience'!M30="Counted",IF(AND('L2-D System Resilience'!N30&gt;=1,'L2-D System Resilience'!S30=0),"✓ MET",IF('L2-D System Resilience'!J30="All-or-nothing","✗ NOT MET",IF('L2-D System Resilience'!S30=1,"✗ NOT MET (★)","◐ PARTIAL")))&amp;CHAR(10)&amp;"("&amp;'L2-D System Resilience'!L30&amp;" of "&amp;'L2-D System Resilience'!K30&amp;")","○ NOT TESTED"))))))</f>
        <v/>
      </c>
      <c r="E423" s="241">
        <f>IF('L2-D System Resilience'!N30="","—",'L2-D System Resilience'!N30)</f>
        <v/>
      </c>
      <c r="F423" s="223">
        <f>'L2-D System Resilience'!O30&amp;IF('L2-D System Resilience'!P30&lt;&gt;"",CHAR(10)&amp;"Notes: "&amp;'L2-D System Resilience'!P30,"")</f>
        <v/>
      </c>
    </row>
    <row r="424" ht="292" customHeight="1" s="125">
      <c r="A424" s="242" t="n"/>
      <c r="B424" s="243">
        <f>"Developer's Guide: "&amp;IFERROR(LEFT('L2-D System Resilience'!D30,FIND(CHAR(10)&amp;CHAR(10)&amp;"Purpose:",'L2-D System Resilience'!D30)-1),'L2-D System Resilience'!D30)</f>
        <v/>
      </c>
      <c r="C424" s="243">
        <f>"Validator's Guide: "&amp;'L2-D System Resilience'!E30&amp;CHAR(10)&amp;"Evidence: "&amp;'L2-D System Resilience'!F30</f>
        <v/>
      </c>
      <c r="D424" s="203" t="n"/>
      <c r="E424" s="203" t="n"/>
      <c r="F424" s="204" t="n"/>
    </row>
    <row r="425" ht="69" customHeight="1" s="125">
      <c r="A425" s="238">
        <f>'L2-D System Resilience'!A31</f>
        <v/>
      </c>
      <c r="B425" s="239">
        <f>'L2-D System Resilience'!C31&amp;CHAR(10)&amp;"["&amp;'L2-D System Resilience'!B31&amp;" · "&amp;'L2-D System Resilience'!G31&amp;"]"</f>
        <v/>
      </c>
      <c r="C425" s="240">
        <f>IF('L2-D System Resilience'!I31=0,"Info only",IF('L2-D System Resilience'!H31="Yes","★ CRITICAL"&amp;CHAR(10),IF('L2-D System Resilience'!H31="★ subs","★ critical sub-items"&amp;CHAR(10),""))&amp;'L2-D System Resilience'!J31&amp;" · W"&amp;'L2-D System Resilience'!I31)</f>
        <v/>
      </c>
      <c r="D425" s="226">
        <f>IF('L2-D System Resilience'!I31=0,"— Not scored",IF('L2-D System Resilience'!J31="Tier",IF('L2-D System Resilience'!M31="Fully integrated","✓ FULLY INTEGRATED",IF('L2-D System Resilience'!M31="Not Met","✗ NOT MET",IF('L2-D System Resilience'!M31="Not Tested","○ NOT TESTED","◐ "&amp;UPPER('L2-D System Resilience'!M31)))),IF('L2-D System Resilience'!M31="Met","✓ MET",IF('L2-D System Resilience'!M31="Not Met","✗ NOT MET",IF('L2-D System Resilience'!M31="N/A","— N/A",IF('L2-D System Resilience'!M31="Counted",IF(AND('L2-D System Resilience'!N31&gt;=1,'L2-D System Resilience'!S31=0),"✓ MET",IF('L2-D System Resilience'!J31="All-or-nothing","✗ NOT MET",IF('L2-D System Resilience'!S31=1,"✗ NOT MET (★)","◐ PARTIAL")))&amp;CHAR(10)&amp;"("&amp;'L2-D System Resilience'!L31&amp;" of "&amp;'L2-D System Resilience'!K31&amp;")","○ NOT TESTED"))))))</f>
        <v/>
      </c>
      <c r="E425" s="241">
        <f>IF('L2-D System Resilience'!N31="","—",'L2-D System Resilience'!N31)</f>
        <v/>
      </c>
      <c r="F425" s="223">
        <f>'L2-D System Resilience'!O31&amp;IF('L2-D System Resilience'!P31&lt;&gt;"",CHAR(10)&amp;"Notes: "&amp;'L2-D System Resilience'!P31,"")</f>
        <v/>
      </c>
    </row>
    <row r="426" ht="220" customHeight="1" s="125">
      <c r="A426" s="242" t="n"/>
      <c r="B426" s="243">
        <f>"Developer's Guide: "&amp;IFERROR(LEFT('L2-D System Resilience'!D31,FIND(CHAR(10)&amp;CHAR(10)&amp;"Purpose:",'L2-D System Resilience'!D31)-1),'L2-D System Resilience'!D31)</f>
        <v/>
      </c>
      <c r="C426" s="243">
        <f>"Validator's Guide: "&amp;'L2-D System Resilience'!E31&amp;CHAR(10)&amp;"Evidence: "&amp;'L2-D System Resilience'!F31</f>
        <v/>
      </c>
      <c r="D426" s="203" t="n"/>
      <c r="E426" s="203" t="n"/>
      <c r="F426" s="204" t="n"/>
    </row>
    <row r="427" ht="29" customHeight="1" s="125">
      <c r="A427" s="244">
        <f>'L2-D System Resilience'!A32</f>
        <v/>
      </c>
      <c r="B427" s="245">
        <f>"   ↳  "&amp;IF('L2-D System Resilience'!H32="Yes","★ ","")&amp;'L2-D System Resilience'!C32</f>
        <v/>
      </c>
      <c r="C427" s="204" t="n"/>
      <c r="D427" s="240">
        <f>IF('L2-D System Resilience'!M32="Met","✓ Met",IF('L2-D System Resilience'!M32="Not Met","✗ Not met",IF('L2-D System Resilience'!M32="N/A","— N/A","○ Not tested")))</f>
        <v/>
      </c>
      <c r="E427" s="245" t="n"/>
      <c r="F427" s="245">
        <f>IF('L2-D System Resilience'!P32&lt;&gt;"",'L2-D System Resilience'!P32,"")</f>
        <v/>
      </c>
    </row>
    <row r="428" ht="29" customHeight="1" s="125">
      <c r="A428" s="244">
        <f>'L2-D System Resilience'!A33</f>
        <v/>
      </c>
      <c r="B428" s="245">
        <f>"   ↳  "&amp;IF('L2-D System Resilience'!H33="Yes","★ ","")&amp;'L2-D System Resilience'!C33</f>
        <v/>
      </c>
      <c r="C428" s="204" t="n"/>
      <c r="D428" s="240">
        <f>IF('L2-D System Resilience'!M33="Met","✓ Met",IF('L2-D System Resilience'!M33="Not Met","✗ Not met",IF('L2-D System Resilience'!M33="N/A","— N/A","○ Not tested")))</f>
        <v/>
      </c>
      <c r="E428" s="245" t="n"/>
      <c r="F428" s="245">
        <f>IF('L2-D System Resilience'!P33&lt;&gt;"",'L2-D System Resilience'!P33,"")</f>
        <v/>
      </c>
    </row>
    <row r="429" ht="42" customHeight="1" s="125">
      <c r="A429" s="244">
        <f>'L2-D System Resilience'!A34</f>
        <v/>
      </c>
      <c r="B429" s="245">
        <f>"   ↳  "&amp;IF('L2-D System Resilience'!H34="Yes","★ ","")&amp;'L2-D System Resilience'!C34</f>
        <v/>
      </c>
      <c r="C429" s="204" t="n"/>
      <c r="D429" s="240">
        <f>IF('L2-D System Resilience'!M34="Met","✓ Met",IF('L2-D System Resilience'!M34="Not Met","✗ Not met",IF('L2-D System Resilience'!M34="N/A","— N/A","○ Not tested")))</f>
        <v/>
      </c>
      <c r="E429" s="245" t="n"/>
      <c r="F429" s="245">
        <f>IF('L2-D System Resilience'!P34&lt;&gt;"",'L2-D System Resilience'!P34,"")</f>
        <v/>
      </c>
    </row>
    <row r="430" ht="42" customHeight="1" s="125">
      <c r="A430" s="244">
        <f>'L2-D System Resilience'!A35</f>
        <v/>
      </c>
      <c r="B430" s="245">
        <f>"   ↳  "&amp;IF('L2-D System Resilience'!H35="Yes","★ ","")&amp;'L2-D System Resilience'!C35</f>
        <v/>
      </c>
      <c r="C430" s="204" t="n"/>
      <c r="D430" s="240">
        <f>IF('L2-D System Resilience'!M35="Met","✓ Met",IF('L2-D System Resilience'!M35="Not Met","✗ Not met",IF('L2-D System Resilience'!M35="N/A","— N/A","○ Not tested")))</f>
        <v/>
      </c>
      <c r="E430" s="245" t="n"/>
      <c r="F430" s="245">
        <f>IF('L2-D System Resilience'!P35&lt;&gt;"",'L2-D System Resilience'!P35,"")</f>
        <v/>
      </c>
    </row>
    <row r="431" ht="29" customHeight="1" s="125">
      <c r="A431" s="244">
        <f>'L2-D System Resilience'!A36</f>
        <v/>
      </c>
      <c r="B431" s="245">
        <f>"   ↳  "&amp;IF('L2-D System Resilience'!H36="Yes","★ ","")&amp;'L2-D System Resilience'!C36</f>
        <v/>
      </c>
      <c r="C431" s="204" t="n"/>
      <c r="D431" s="240">
        <f>IF('L2-D System Resilience'!M36="Met","✓ Met",IF('L2-D System Resilience'!M36="Not Met","✗ Not met",IF('L2-D System Resilience'!M36="N/A","— N/A","○ Not tested")))</f>
        <v/>
      </c>
      <c r="E431" s="245" t="n"/>
      <c r="F431" s="245">
        <f>IF('L2-D System Resilience'!P36&lt;&gt;"",'L2-D System Resilience'!P36,"")</f>
        <v/>
      </c>
    </row>
    <row r="432" ht="69" customHeight="1" s="125">
      <c r="A432" s="238">
        <f>'L2-D System Resilience'!A37</f>
        <v/>
      </c>
      <c r="B432" s="239">
        <f>'L2-D System Resilience'!C37&amp;CHAR(10)&amp;"["&amp;'L2-D System Resilience'!B37&amp;" · "&amp;'L2-D System Resilience'!G37&amp;"]"</f>
        <v/>
      </c>
      <c r="C432" s="240">
        <f>IF('L2-D System Resilience'!I37=0,"Info only",IF('L2-D System Resilience'!H37="Yes","★ CRITICAL"&amp;CHAR(10),IF('L2-D System Resilience'!H37="★ subs","★ critical sub-items"&amp;CHAR(10),""))&amp;'L2-D System Resilience'!J37&amp;" · W"&amp;'L2-D System Resilience'!I37)</f>
        <v/>
      </c>
      <c r="D432" s="226">
        <f>IF('L2-D System Resilience'!I37=0,"— Not scored",IF('L2-D System Resilience'!J37="Tier",IF('L2-D System Resilience'!M37="Fully integrated","✓ FULLY INTEGRATED",IF('L2-D System Resilience'!M37="Not Met","✗ NOT MET",IF('L2-D System Resilience'!M37="Not Tested","○ NOT TESTED","◐ "&amp;UPPER('L2-D System Resilience'!M37)))),IF('L2-D System Resilience'!M37="Met","✓ MET",IF('L2-D System Resilience'!M37="Not Met","✗ NOT MET",IF('L2-D System Resilience'!M37="N/A","— N/A",IF('L2-D System Resilience'!M37="Counted",IF(AND('L2-D System Resilience'!N37&gt;=1,'L2-D System Resilience'!S37=0),"✓ MET",IF('L2-D System Resilience'!J37="All-or-nothing","✗ NOT MET",IF('L2-D System Resilience'!S37=1,"✗ NOT MET (★)","◐ PARTIAL")))&amp;CHAR(10)&amp;"("&amp;'L2-D System Resilience'!L37&amp;" of "&amp;'L2-D System Resilience'!K37&amp;")","○ NOT TESTED"))))))</f>
        <v/>
      </c>
      <c r="E432" s="241">
        <f>IF('L2-D System Resilience'!N37="","—",'L2-D System Resilience'!N37)</f>
        <v/>
      </c>
      <c r="F432" s="223">
        <f>'L2-D System Resilience'!O37&amp;IF('L2-D System Resilience'!P37&lt;&gt;"",CHAR(10)&amp;"Notes: "&amp;'L2-D System Resilience'!P37,"")</f>
        <v/>
      </c>
    </row>
    <row r="433" ht="124" customHeight="1" s="125">
      <c r="A433" s="242" t="n"/>
      <c r="B433" s="243">
        <f>"Developer's Guide: "&amp;IFERROR(LEFT('L2-D System Resilience'!D37,FIND(CHAR(10)&amp;CHAR(10)&amp;"Purpose:",'L2-D System Resilience'!D37)-1),'L2-D System Resilience'!D37)</f>
        <v/>
      </c>
      <c r="C433" s="243">
        <f>"Validator's Guide: "&amp;'L2-D System Resilience'!E37&amp;CHAR(10)&amp;"Evidence: "&amp;'L2-D System Resilience'!F37</f>
        <v/>
      </c>
      <c r="D433" s="203" t="n"/>
      <c r="E433" s="203" t="n"/>
      <c r="F433" s="204" t="n"/>
    </row>
    <row r="434" ht="29" customHeight="1" s="125">
      <c r="A434" s="244">
        <f>'L2-D System Resilience'!A38</f>
        <v/>
      </c>
      <c r="B434" s="245">
        <f>"   ↳  "&amp;IF('L2-D System Resilience'!H38="Yes","★ ","")&amp;'L2-D System Resilience'!C38</f>
        <v/>
      </c>
      <c r="C434" s="204" t="n"/>
      <c r="D434" s="240">
        <f>IF('L2-D System Resilience'!M38="Met","✓ Met",IF('L2-D System Resilience'!M38="Not Met","✗ Not met",IF('L2-D System Resilience'!M38="N/A","— N/A","○ Not tested")))</f>
        <v/>
      </c>
      <c r="E434" s="245" t="n"/>
      <c r="F434" s="245">
        <f>IF('L2-D System Resilience'!P38&lt;&gt;"",'L2-D System Resilience'!P38,"")</f>
        <v/>
      </c>
    </row>
    <row r="435" ht="29" customHeight="1" s="125">
      <c r="A435" s="244">
        <f>'L2-D System Resilience'!A39</f>
        <v/>
      </c>
      <c r="B435" s="245">
        <f>"   ↳  "&amp;IF('L2-D System Resilience'!H39="Yes","★ ","")&amp;'L2-D System Resilience'!C39</f>
        <v/>
      </c>
      <c r="C435" s="204" t="n"/>
      <c r="D435" s="240">
        <f>IF('L2-D System Resilience'!M39="Met","✓ Met",IF('L2-D System Resilience'!M39="Not Met","✗ Not met",IF('L2-D System Resilience'!M39="N/A","— N/A","○ Not tested")))</f>
        <v/>
      </c>
      <c r="E435" s="245" t="n"/>
      <c r="F435" s="245">
        <f>IF('L2-D System Resilience'!P39&lt;&gt;"",'L2-D System Resilience'!P39,"")</f>
        <v/>
      </c>
    </row>
    <row r="436" ht="29" customHeight="1" s="125">
      <c r="A436" s="244">
        <f>'L2-D System Resilience'!A40</f>
        <v/>
      </c>
      <c r="B436" s="245">
        <f>"   ↳  "&amp;IF('L2-D System Resilience'!H40="Yes","★ ","")&amp;'L2-D System Resilience'!C40</f>
        <v/>
      </c>
      <c r="C436" s="204" t="n"/>
      <c r="D436" s="240">
        <f>IF('L2-D System Resilience'!M40="Met","✓ Met",IF('L2-D System Resilience'!M40="Not Met","✗ Not met",IF('L2-D System Resilience'!M40="N/A","— N/A","○ Not tested")))</f>
        <v/>
      </c>
      <c r="E436" s="245" t="n"/>
      <c r="F436" s="245">
        <f>IF('L2-D System Resilience'!P40&lt;&gt;"",'L2-D System Resilience'!P40,"")</f>
        <v/>
      </c>
    </row>
    <row r="437" ht="56" customHeight="1" s="125">
      <c r="A437" s="238">
        <f>'L2-D System Resilience'!A41</f>
        <v/>
      </c>
      <c r="B437" s="239">
        <f>'L2-D System Resilience'!C41&amp;CHAR(10)&amp;"["&amp;'L2-D System Resilience'!B41&amp;" · "&amp;'L2-D System Resilience'!G41&amp;"]"</f>
        <v/>
      </c>
      <c r="C437" s="240">
        <f>IF('L2-D System Resilience'!I41=0,"Info only",IF('L2-D System Resilience'!H41="Yes","★ CRITICAL"&amp;CHAR(10),IF('L2-D System Resilience'!H41="★ subs","★ critical sub-items"&amp;CHAR(10),""))&amp;'L2-D System Resilience'!J41&amp;" · W"&amp;'L2-D System Resilience'!I41)</f>
        <v/>
      </c>
      <c r="D437" s="226">
        <f>IF('L2-D System Resilience'!I41=0,"— Not scored",IF('L2-D System Resilience'!J41="Tier",IF('L2-D System Resilience'!M41="Fully integrated","✓ FULLY INTEGRATED",IF('L2-D System Resilience'!M41="Not Met","✗ NOT MET",IF('L2-D System Resilience'!M41="Not Tested","○ NOT TESTED","◐ "&amp;UPPER('L2-D System Resilience'!M41)))),IF('L2-D System Resilience'!M41="Met","✓ MET",IF('L2-D System Resilience'!M41="Not Met","✗ NOT MET",IF('L2-D System Resilience'!M41="N/A","— N/A",IF('L2-D System Resilience'!M41="Counted",IF(AND('L2-D System Resilience'!N41&gt;=1,'L2-D System Resilience'!S41=0),"✓ MET",IF('L2-D System Resilience'!J41="All-or-nothing","✗ NOT MET",IF('L2-D System Resilience'!S41=1,"✗ NOT MET (★)","◐ PARTIAL")))&amp;CHAR(10)&amp;"("&amp;'L2-D System Resilience'!L41&amp;" of "&amp;'L2-D System Resilience'!K41&amp;")","○ NOT TESTED"))))))</f>
        <v/>
      </c>
      <c r="E437" s="241">
        <f>IF('L2-D System Resilience'!N41="","—",'L2-D System Resilience'!N41)</f>
        <v/>
      </c>
      <c r="F437" s="223">
        <f>'L2-D System Resilience'!O41&amp;IF('L2-D System Resilience'!P41&lt;&gt;"",CHAR(10)&amp;"Notes: "&amp;'L2-D System Resilience'!P41,"")</f>
        <v/>
      </c>
    </row>
    <row r="438" ht="124" customHeight="1" s="125">
      <c r="A438" s="242" t="n"/>
      <c r="B438" s="243">
        <f>"Developer's Guide: "&amp;IFERROR(LEFT('L2-D System Resilience'!D41,FIND(CHAR(10)&amp;CHAR(10)&amp;"Purpose:",'L2-D System Resilience'!D41)-1),'L2-D System Resilience'!D41)</f>
        <v/>
      </c>
      <c r="C438" s="243">
        <f>"Validator's Guide: "&amp;'L2-D System Resilience'!E41&amp;CHAR(10)&amp;"Evidence: "&amp;'L2-D System Resilience'!F41</f>
        <v/>
      </c>
      <c r="D438" s="203" t="n"/>
      <c r="E438" s="203" t="n"/>
      <c r="F438" s="204" t="n"/>
    </row>
    <row r="439" ht="29" customHeight="1" s="125">
      <c r="A439" s="244">
        <f>'L2-D System Resilience'!A42</f>
        <v/>
      </c>
      <c r="B439" s="245">
        <f>"   ↳  "&amp;IF('L2-D System Resilience'!H42="Yes","★ ","")&amp;'L2-D System Resilience'!C42</f>
        <v/>
      </c>
      <c r="C439" s="204" t="n"/>
      <c r="D439" s="240">
        <f>IF('L2-D System Resilience'!M42="Met","✓ Met",IF('L2-D System Resilience'!M42="Not Met","✗ Not met",IF('L2-D System Resilience'!M42="N/A","— N/A","○ Not tested")))</f>
        <v/>
      </c>
      <c r="E439" s="245" t="n"/>
      <c r="F439" s="245">
        <f>IF('L2-D System Resilience'!P42&lt;&gt;"",'L2-D System Resilience'!P42,"")</f>
        <v/>
      </c>
    </row>
    <row r="440" ht="29" customHeight="1" s="125">
      <c r="A440" s="244">
        <f>'L2-D System Resilience'!A43</f>
        <v/>
      </c>
      <c r="B440" s="245">
        <f>"   ↳  "&amp;IF('L2-D System Resilience'!H43="Yes","★ ","")&amp;'L2-D System Resilience'!C43</f>
        <v/>
      </c>
      <c r="C440" s="204" t="n"/>
      <c r="D440" s="240">
        <f>IF('L2-D System Resilience'!M43="Met","✓ Met",IF('L2-D System Resilience'!M43="Not Met","✗ Not met",IF('L2-D System Resilience'!M43="N/A","— N/A","○ Not tested")))</f>
        <v/>
      </c>
      <c r="E440" s="245" t="n"/>
      <c r="F440" s="245">
        <f>IF('L2-D System Resilience'!P43&lt;&gt;"",'L2-D System Resilience'!P43,"")</f>
        <v/>
      </c>
    </row>
    <row r="441" ht="29" customHeight="1" s="125">
      <c r="A441" s="244">
        <f>'L2-D System Resilience'!A44</f>
        <v/>
      </c>
      <c r="B441" s="245">
        <f>"   ↳  "&amp;IF('L2-D System Resilience'!H44="Yes","★ ","")&amp;'L2-D System Resilience'!C44</f>
        <v/>
      </c>
      <c r="C441" s="204" t="n"/>
      <c r="D441" s="240">
        <f>IF('L2-D System Resilience'!M44="Met","✓ Met",IF('L2-D System Resilience'!M44="Not Met","✗ Not met",IF('L2-D System Resilience'!M44="N/A","— N/A","○ Not tested")))</f>
        <v/>
      </c>
      <c r="E441" s="245" t="n"/>
      <c r="F441" s="245">
        <f>IF('L2-D System Resilience'!P44&lt;&gt;"",'L2-D System Resilience'!P44,"")</f>
        <v/>
      </c>
    </row>
    <row r="442" ht="43" customHeight="1" s="125">
      <c r="A442" s="238">
        <f>'L2-D System Resilience'!A45</f>
        <v/>
      </c>
      <c r="B442" s="239">
        <f>'L2-D System Resilience'!C45&amp;CHAR(10)&amp;"["&amp;'L2-D System Resilience'!B45&amp;" · "&amp;'L2-D System Resilience'!G45&amp;"]"</f>
        <v/>
      </c>
      <c r="C442" s="240">
        <f>IF('L2-D System Resilience'!I45=0,"Info only",IF('L2-D System Resilience'!H45="Yes","★ CRITICAL"&amp;CHAR(10),IF('L2-D System Resilience'!H45="★ subs","★ critical sub-items"&amp;CHAR(10),""))&amp;'L2-D System Resilience'!J45&amp;" · W"&amp;'L2-D System Resilience'!I45)</f>
        <v/>
      </c>
      <c r="D442" s="226">
        <f>IF('L2-D System Resilience'!I45=0,"— Not scored",IF('L2-D System Resilience'!J45="Tier",IF('L2-D System Resilience'!M45="Fully integrated","✓ FULLY INTEGRATED",IF('L2-D System Resilience'!M45="Not Met","✗ NOT MET",IF('L2-D System Resilience'!M45="Not Tested","○ NOT TESTED","◐ "&amp;UPPER('L2-D System Resilience'!M45)))),IF('L2-D System Resilience'!M45="Met","✓ MET",IF('L2-D System Resilience'!M45="Not Met","✗ NOT MET",IF('L2-D System Resilience'!M45="N/A","— N/A",IF('L2-D System Resilience'!M45="Counted",IF(AND('L2-D System Resilience'!N45&gt;=1,'L2-D System Resilience'!S45=0),"✓ MET",IF('L2-D System Resilience'!J45="All-or-nothing","✗ NOT MET",IF('L2-D System Resilience'!S45=1,"✗ NOT MET (★)","◐ PARTIAL")))&amp;CHAR(10)&amp;"("&amp;'L2-D System Resilience'!L45&amp;" of "&amp;'L2-D System Resilience'!K45&amp;")","○ NOT TESTED"))))))</f>
        <v/>
      </c>
      <c r="E442" s="241">
        <f>IF('L2-D System Resilience'!N45="","—",'L2-D System Resilience'!N45)</f>
        <v/>
      </c>
      <c r="F442" s="223">
        <f>'L2-D System Resilience'!O45&amp;IF('L2-D System Resilience'!P45&lt;&gt;"",CHAR(10)&amp;"Notes: "&amp;'L2-D System Resilience'!P45,"")</f>
        <v/>
      </c>
    </row>
    <row r="443" ht="100" customHeight="1" s="125">
      <c r="A443" s="242" t="n"/>
      <c r="B443" s="243">
        <f>"Developer's Guide: "&amp;IFERROR(LEFT('L2-D System Resilience'!D45,FIND(CHAR(10)&amp;CHAR(10)&amp;"Purpose:",'L2-D System Resilience'!D45)-1),'L2-D System Resilience'!D45)</f>
        <v/>
      </c>
      <c r="C443" s="243">
        <f>"Validator's Guide: "&amp;'L2-D System Resilience'!E45&amp;CHAR(10)&amp;"Evidence: "&amp;'L2-D System Resilience'!F45</f>
        <v/>
      </c>
      <c r="D443" s="203" t="n"/>
      <c r="E443" s="203" t="n"/>
      <c r="F443" s="204" t="n"/>
    </row>
    <row r="444" ht="29" customHeight="1" s="125">
      <c r="A444" s="244">
        <f>'L2-D System Resilience'!A46</f>
        <v/>
      </c>
      <c r="B444" s="245">
        <f>"   ↳  "&amp;IF('L2-D System Resilience'!H46="Yes","★ ","")&amp;'L2-D System Resilience'!C46</f>
        <v/>
      </c>
      <c r="C444" s="204" t="n"/>
      <c r="D444" s="240">
        <f>IF('L2-D System Resilience'!M46="Met","✓ Met",IF('L2-D System Resilience'!M46="Not Met","✗ Not met",IF('L2-D System Resilience'!M46="N/A","— N/A","○ Not tested")))</f>
        <v/>
      </c>
      <c r="E444" s="245" t="n"/>
      <c r="F444" s="245">
        <f>IF('L2-D System Resilience'!P46&lt;&gt;"",'L2-D System Resilience'!P46,"")</f>
        <v/>
      </c>
    </row>
    <row r="445" ht="16" customHeight="1" s="125">
      <c r="A445" s="244">
        <f>'L2-D System Resilience'!A47</f>
        <v/>
      </c>
      <c r="B445" s="245">
        <f>"   ↳  "&amp;IF('L2-D System Resilience'!H47="Yes","★ ","")&amp;'L2-D System Resilience'!C47</f>
        <v/>
      </c>
      <c r="C445" s="204" t="n"/>
      <c r="D445" s="240">
        <f>IF('L2-D System Resilience'!M47="Met","✓ Met",IF('L2-D System Resilience'!M47="Not Met","✗ Not met",IF('L2-D System Resilience'!M47="N/A","— N/A","○ Not tested")))</f>
        <v/>
      </c>
      <c r="E445" s="245" t="n"/>
      <c r="F445" s="245">
        <f>IF('L2-D System Resilience'!P47&lt;&gt;"",'L2-D System Resilience'!P47,"")</f>
        <v/>
      </c>
    </row>
    <row r="446" ht="29" customHeight="1" s="125">
      <c r="A446" s="244">
        <f>'L2-D System Resilience'!A48</f>
        <v/>
      </c>
      <c r="B446" s="245">
        <f>"   ↳  "&amp;IF('L2-D System Resilience'!H48="Yes","★ ","")&amp;'L2-D System Resilience'!C48</f>
        <v/>
      </c>
      <c r="C446" s="204" t="n"/>
      <c r="D446" s="240">
        <f>IF('L2-D System Resilience'!M48="Met","✓ Met",IF('L2-D System Resilience'!M48="Not Met","✗ Not met",IF('L2-D System Resilience'!M48="N/A","— N/A","○ Not tested")))</f>
        <v/>
      </c>
      <c r="E446" s="245" t="n"/>
      <c r="F446" s="245">
        <f>IF('L2-D System Resilience'!P48&lt;&gt;"",'L2-D System Resilience'!P48,"")</f>
        <v/>
      </c>
    </row>
    <row r="447" ht="29" customHeight="1" s="125">
      <c r="A447" s="244">
        <f>'L2-D System Resilience'!A49</f>
        <v/>
      </c>
      <c r="B447" s="245">
        <f>"   ↳  "&amp;IF('L2-D System Resilience'!H49="Yes","★ ","")&amp;'L2-D System Resilience'!C49</f>
        <v/>
      </c>
      <c r="C447" s="204" t="n"/>
      <c r="D447" s="240">
        <f>IF('L2-D System Resilience'!M49="Met","✓ Met",IF('L2-D System Resilience'!M49="Not Met","✗ Not met",IF('L2-D System Resilience'!M49="N/A","— N/A","○ Not tested")))</f>
        <v/>
      </c>
      <c r="E447" s="245" t="n"/>
      <c r="F447" s="245">
        <f>IF('L2-D System Resilience'!P49&lt;&gt;"",'L2-D System Resilience'!P49,"")</f>
        <v/>
      </c>
    </row>
    <row r="448" ht="56" customHeight="1" s="125">
      <c r="A448" s="238">
        <f>'L2-D System Resilience'!A50</f>
        <v/>
      </c>
      <c r="B448" s="239">
        <f>'L2-D System Resilience'!C50&amp;CHAR(10)&amp;"["&amp;'L2-D System Resilience'!B50&amp;" · "&amp;'L2-D System Resilience'!G50&amp;"]"</f>
        <v/>
      </c>
      <c r="C448" s="240">
        <f>IF('L2-D System Resilience'!I50=0,"Info only",IF('L2-D System Resilience'!H50="Yes","★ CRITICAL"&amp;CHAR(10),IF('L2-D System Resilience'!H50="★ subs","★ critical sub-items"&amp;CHAR(10),""))&amp;'L2-D System Resilience'!J50&amp;" · W"&amp;'L2-D System Resilience'!I50)</f>
        <v/>
      </c>
      <c r="D448" s="226">
        <f>IF('L2-D System Resilience'!I50=0,"— Not scored",IF('L2-D System Resilience'!J50="Tier",IF('L2-D System Resilience'!M50="Fully integrated","✓ FULLY INTEGRATED",IF('L2-D System Resilience'!M50="Not Met","✗ NOT MET",IF('L2-D System Resilience'!M50="Not Tested","○ NOT TESTED","◐ "&amp;UPPER('L2-D System Resilience'!M50)))),IF('L2-D System Resilience'!M50="Met","✓ MET",IF('L2-D System Resilience'!M50="Not Met","✗ NOT MET",IF('L2-D System Resilience'!M50="N/A","— N/A",IF('L2-D System Resilience'!M50="Counted",IF(AND('L2-D System Resilience'!N50&gt;=1,'L2-D System Resilience'!S50=0),"✓ MET",IF('L2-D System Resilience'!J50="All-or-nothing","✗ NOT MET",IF('L2-D System Resilience'!S50=1,"✗ NOT MET (★)","◐ PARTIAL")))&amp;CHAR(10)&amp;"("&amp;'L2-D System Resilience'!L50&amp;" of "&amp;'L2-D System Resilience'!K50&amp;")","○ NOT TESTED"))))))</f>
        <v/>
      </c>
      <c r="E448" s="241">
        <f>IF('L2-D System Resilience'!N50="","—",'L2-D System Resilience'!N50)</f>
        <v/>
      </c>
      <c r="F448" s="223">
        <f>'L2-D System Resilience'!O50&amp;IF('L2-D System Resilience'!P50&lt;&gt;"",CHAR(10)&amp;"Notes: "&amp;'L2-D System Resilience'!P50,"")</f>
        <v/>
      </c>
    </row>
    <row r="449" ht="136" customHeight="1" s="125">
      <c r="A449" s="242" t="n"/>
      <c r="B449" s="243">
        <f>"Developer's Guide: "&amp;IFERROR(LEFT('L2-D System Resilience'!D50,FIND(CHAR(10)&amp;CHAR(10)&amp;"Purpose:",'L2-D System Resilience'!D50)-1),'L2-D System Resilience'!D50)</f>
        <v/>
      </c>
      <c r="C449" s="243">
        <f>"Validator's Guide: "&amp;'L2-D System Resilience'!E50&amp;CHAR(10)&amp;"Evidence: "&amp;'L2-D System Resilience'!F50</f>
        <v/>
      </c>
      <c r="D449" s="203" t="n"/>
      <c r="E449" s="203" t="n"/>
      <c r="F449" s="204" t="n"/>
    </row>
    <row r="450" ht="29" customHeight="1" s="125">
      <c r="A450" s="244">
        <f>'L2-D System Resilience'!A51</f>
        <v/>
      </c>
      <c r="B450" s="245">
        <f>"   ↳  "&amp;IF('L2-D System Resilience'!H51="Yes","★ ","")&amp;'L2-D System Resilience'!C51</f>
        <v/>
      </c>
      <c r="C450" s="204" t="n"/>
      <c r="D450" s="240">
        <f>IF('L2-D System Resilience'!M51="Met","✓ Met",IF('L2-D System Resilience'!M51="Not Met","✗ Not met",IF('L2-D System Resilience'!M51="N/A","— N/A","○ Not tested")))</f>
        <v/>
      </c>
      <c r="E450" s="245" t="n"/>
      <c r="F450" s="245">
        <f>IF('L2-D System Resilience'!P51&lt;&gt;"",'L2-D System Resilience'!P51,"")</f>
        <v/>
      </c>
    </row>
    <row r="451" ht="29" customHeight="1" s="125">
      <c r="A451" s="244">
        <f>'L2-D System Resilience'!A52</f>
        <v/>
      </c>
      <c r="B451" s="245">
        <f>"   ↳  "&amp;IF('L2-D System Resilience'!H52="Yes","★ ","")&amp;'L2-D System Resilience'!C52</f>
        <v/>
      </c>
      <c r="C451" s="204" t="n"/>
      <c r="D451" s="240">
        <f>IF('L2-D System Resilience'!M52="Met","✓ Met",IF('L2-D System Resilience'!M52="Not Met","✗ Not met",IF('L2-D System Resilience'!M52="N/A","— N/A","○ Not tested")))</f>
        <v/>
      </c>
      <c r="E451" s="245" t="n"/>
      <c r="F451" s="245">
        <f>IF('L2-D System Resilience'!P52&lt;&gt;"",'L2-D System Resilience'!P52,"")</f>
        <v/>
      </c>
    </row>
    <row r="452" ht="69" customHeight="1" s="125">
      <c r="A452" s="238">
        <f>'L2-D System Resilience'!A53</f>
        <v/>
      </c>
      <c r="B452" s="239">
        <f>'L2-D System Resilience'!C53&amp;CHAR(10)&amp;"["&amp;'L2-D System Resilience'!B53&amp;" · "&amp;'L2-D System Resilience'!G53&amp;"]"</f>
        <v/>
      </c>
      <c r="C452" s="240">
        <f>IF('L2-D System Resilience'!I53=0,"Info only",IF('L2-D System Resilience'!H53="Yes","★ CRITICAL"&amp;CHAR(10),IF('L2-D System Resilience'!H53="★ subs","★ critical sub-items"&amp;CHAR(10),""))&amp;'L2-D System Resilience'!J53&amp;" · W"&amp;'L2-D System Resilience'!I53)</f>
        <v/>
      </c>
      <c r="D452" s="226">
        <f>IF('L2-D System Resilience'!I53=0,"— Not scored",IF('L2-D System Resilience'!J53="Tier",IF('L2-D System Resilience'!M53="Fully integrated","✓ FULLY INTEGRATED",IF('L2-D System Resilience'!M53="Not Met","✗ NOT MET",IF('L2-D System Resilience'!M53="Not Tested","○ NOT TESTED","◐ "&amp;UPPER('L2-D System Resilience'!M53)))),IF('L2-D System Resilience'!M53="Met","✓ MET",IF('L2-D System Resilience'!M53="Not Met","✗ NOT MET",IF('L2-D System Resilience'!M53="N/A","— N/A",IF('L2-D System Resilience'!M53="Counted",IF(AND('L2-D System Resilience'!N53&gt;=1,'L2-D System Resilience'!S53=0),"✓ MET",IF('L2-D System Resilience'!J53="All-or-nothing","✗ NOT MET",IF('L2-D System Resilience'!S53=1,"✗ NOT MET (★)","◐ PARTIAL")))&amp;CHAR(10)&amp;"("&amp;'L2-D System Resilience'!L53&amp;" of "&amp;'L2-D System Resilience'!K53&amp;")","○ NOT TESTED"))))))</f>
        <v/>
      </c>
      <c r="E452" s="241">
        <f>IF('L2-D System Resilience'!N53="","—",'L2-D System Resilience'!N53)</f>
        <v/>
      </c>
      <c r="F452" s="223">
        <f>'L2-D System Resilience'!O53&amp;IF('L2-D System Resilience'!P53&lt;&gt;"",CHAR(10)&amp;"Notes: "&amp;'L2-D System Resilience'!P53,"")</f>
        <v/>
      </c>
    </row>
    <row r="453" ht="124" customHeight="1" s="125">
      <c r="A453" s="242" t="n"/>
      <c r="B453" s="243">
        <f>"Developer's Guide: "&amp;IFERROR(LEFT('L2-D System Resilience'!D53,FIND(CHAR(10)&amp;CHAR(10)&amp;"Purpose:",'L2-D System Resilience'!D53)-1),'L2-D System Resilience'!D53)</f>
        <v/>
      </c>
      <c r="C453" s="243">
        <f>"Validator's Guide: "&amp;'L2-D System Resilience'!E53&amp;CHAR(10)&amp;"Evidence: "&amp;'L2-D System Resilience'!F53</f>
        <v/>
      </c>
      <c r="D453" s="203" t="n"/>
      <c r="E453" s="203" t="n"/>
      <c r="F453" s="204" t="n"/>
    </row>
    <row r="454" ht="69" customHeight="1" s="125">
      <c r="A454" s="238">
        <f>'L2-D System Resilience'!A54</f>
        <v/>
      </c>
      <c r="B454" s="239">
        <f>'L2-D System Resilience'!C54&amp;CHAR(10)&amp;"["&amp;'L2-D System Resilience'!B54&amp;" · "&amp;'L2-D System Resilience'!G54&amp;"]"</f>
        <v/>
      </c>
      <c r="C454" s="240">
        <f>IF('L2-D System Resilience'!I54=0,"Info only",IF('L2-D System Resilience'!H54="Yes","★ CRITICAL"&amp;CHAR(10),IF('L2-D System Resilience'!H54="★ subs","★ critical sub-items"&amp;CHAR(10),""))&amp;'L2-D System Resilience'!J54&amp;" · W"&amp;'L2-D System Resilience'!I54)</f>
        <v/>
      </c>
      <c r="D454" s="226">
        <f>IF('L2-D System Resilience'!I54=0,"— Not scored",IF('L2-D System Resilience'!J54="Tier",IF('L2-D System Resilience'!M54="Fully integrated","✓ FULLY INTEGRATED",IF('L2-D System Resilience'!M54="Not Met","✗ NOT MET",IF('L2-D System Resilience'!M54="Not Tested","○ NOT TESTED","◐ "&amp;UPPER('L2-D System Resilience'!M54)))),IF('L2-D System Resilience'!M54="Met","✓ MET",IF('L2-D System Resilience'!M54="Not Met","✗ NOT MET",IF('L2-D System Resilience'!M54="N/A","— N/A",IF('L2-D System Resilience'!M54="Counted",IF(AND('L2-D System Resilience'!N54&gt;=1,'L2-D System Resilience'!S54=0),"✓ MET",IF('L2-D System Resilience'!J54="All-or-nothing","✗ NOT MET",IF('L2-D System Resilience'!S54=1,"✗ NOT MET (★)","◐ PARTIAL")))&amp;CHAR(10)&amp;"("&amp;'L2-D System Resilience'!L54&amp;" of "&amp;'L2-D System Resilience'!K54&amp;")","○ NOT TESTED"))))))</f>
        <v/>
      </c>
      <c r="E454" s="241">
        <f>IF('L2-D System Resilience'!N54="","—",'L2-D System Resilience'!N54)</f>
        <v/>
      </c>
      <c r="F454" s="223">
        <f>'L2-D System Resilience'!O54&amp;IF('L2-D System Resilience'!P54&lt;&gt;"",CHAR(10)&amp;"Notes: "&amp;'L2-D System Resilience'!P54,"")</f>
        <v/>
      </c>
    </row>
    <row r="455" ht="220" customHeight="1" s="125">
      <c r="A455" s="242" t="n"/>
      <c r="B455" s="243">
        <f>"Developer's Guide: "&amp;IFERROR(LEFT('L2-D System Resilience'!D54,FIND(CHAR(10)&amp;CHAR(10)&amp;"Purpose:",'L2-D System Resilience'!D54)-1),'L2-D System Resilience'!D54)</f>
        <v/>
      </c>
      <c r="C455" s="243">
        <f>"Validator's Guide: "&amp;'L2-D System Resilience'!E54&amp;CHAR(10)&amp;"Evidence: "&amp;'L2-D System Resilience'!F54</f>
        <v/>
      </c>
      <c r="D455" s="203" t="n"/>
      <c r="E455" s="203" t="n"/>
      <c r="F455" s="204" t="n"/>
    </row>
    <row r="456" ht="29" customHeight="1" s="125">
      <c r="A456" s="244">
        <f>'L2-D System Resilience'!A55</f>
        <v/>
      </c>
      <c r="B456" s="245">
        <f>"   ↳  "&amp;IF('L2-D System Resilience'!H55="Yes","★ ","")&amp;'L2-D System Resilience'!C55</f>
        <v/>
      </c>
      <c r="C456" s="204" t="n"/>
      <c r="D456" s="240">
        <f>IF('L2-D System Resilience'!M55="Met","✓ Met",IF('L2-D System Resilience'!M55="Not Met","✗ Not met",IF('L2-D System Resilience'!M55="N/A","— N/A","○ Not tested")))</f>
        <v/>
      </c>
      <c r="E456" s="245" t="n"/>
      <c r="F456" s="245">
        <f>IF('L2-D System Resilience'!P55&lt;&gt;"",'L2-D System Resilience'!P55,"")</f>
        <v/>
      </c>
    </row>
    <row r="457" ht="29" customHeight="1" s="125">
      <c r="A457" s="244">
        <f>'L2-D System Resilience'!A56</f>
        <v/>
      </c>
      <c r="B457" s="245">
        <f>"   ↳  "&amp;IF('L2-D System Resilience'!H56="Yes","★ ","")&amp;'L2-D System Resilience'!C56</f>
        <v/>
      </c>
      <c r="C457" s="204" t="n"/>
      <c r="D457" s="240">
        <f>IF('L2-D System Resilience'!M56="Met","✓ Met",IF('L2-D System Resilience'!M56="Not Met","✗ Not met",IF('L2-D System Resilience'!M56="N/A","— N/A","○ Not tested")))</f>
        <v/>
      </c>
      <c r="E457" s="245" t="n"/>
      <c r="F457" s="245">
        <f>IF('L2-D System Resilience'!P56&lt;&gt;"",'L2-D System Resilience'!P56,"")</f>
        <v/>
      </c>
    </row>
    <row r="458" ht="29" customHeight="1" s="125">
      <c r="A458" s="244">
        <f>'L2-D System Resilience'!A57</f>
        <v/>
      </c>
      <c r="B458" s="245">
        <f>"   ↳  "&amp;IF('L2-D System Resilience'!H57="Yes","★ ","")&amp;'L2-D System Resilience'!C57</f>
        <v/>
      </c>
      <c r="C458" s="204" t="n"/>
      <c r="D458" s="240">
        <f>IF('L2-D System Resilience'!M57="Met","✓ Met",IF('L2-D System Resilience'!M57="Not Met","✗ Not met",IF('L2-D System Resilience'!M57="N/A","— N/A","○ Not tested")))</f>
        <v/>
      </c>
      <c r="E458" s="245" t="n"/>
      <c r="F458" s="245">
        <f>IF('L2-D System Resilience'!P57&lt;&gt;"",'L2-D System Resilience'!P57,"")</f>
        <v/>
      </c>
    </row>
    <row r="459" ht="56" customHeight="1" s="125">
      <c r="A459" s="238">
        <f>'L2-D System Resilience'!A58</f>
        <v/>
      </c>
      <c r="B459" s="239">
        <f>'L2-D System Resilience'!C58&amp;CHAR(10)&amp;"["&amp;'L2-D System Resilience'!B58&amp;" · "&amp;'L2-D System Resilience'!G58&amp;"]"</f>
        <v/>
      </c>
      <c r="C459" s="240">
        <f>IF('L2-D System Resilience'!I58=0,"Info only",IF('L2-D System Resilience'!H58="Yes","★ CRITICAL"&amp;CHAR(10),IF('L2-D System Resilience'!H58="★ subs","★ critical sub-items"&amp;CHAR(10),""))&amp;'L2-D System Resilience'!J58&amp;" · W"&amp;'L2-D System Resilience'!I58)</f>
        <v/>
      </c>
      <c r="D459" s="226">
        <f>IF('L2-D System Resilience'!I58=0,"— Not scored",IF('L2-D System Resilience'!J58="Tier",IF('L2-D System Resilience'!M58="Fully integrated","✓ FULLY INTEGRATED",IF('L2-D System Resilience'!M58="Not Met","✗ NOT MET",IF('L2-D System Resilience'!M58="Not Tested","○ NOT TESTED","◐ "&amp;UPPER('L2-D System Resilience'!M58)))),IF('L2-D System Resilience'!M58="Met","✓ MET",IF('L2-D System Resilience'!M58="Not Met","✗ NOT MET",IF('L2-D System Resilience'!M58="N/A","— N/A",IF('L2-D System Resilience'!M58="Counted",IF(AND('L2-D System Resilience'!N58&gt;=1,'L2-D System Resilience'!S58=0),"✓ MET",IF('L2-D System Resilience'!J58="All-or-nothing","✗ NOT MET",IF('L2-D System Resilience'!S58=1,"✗ NOT MET (★)","◐ PARTIAL")))&amp;CHAR(10)&amp;"("&amp;'L2-D System Resilience'!L58&amp;" of "&amp;'L2-D System Resilience'!K58&amp;")","○ NOT TESTED"))))))</f>
        <v/>
      </c>
      <c r="E459" s="241">
        <f>IF('L2-D System Resilience'!N58="","—",'L2-D System Resilience'!N58)</f>
        <v/>
      </c>
      <c r="F459" s="223">
        <f>'L2-D System Resilience'!O58&amp;IF('L2-D System Resilience'!P58&lt;&gt;"",CHAR(10)&amp;"Notes: "&amp;'L2-D System Resilience'!P58,"")</f>
        <v/>
      </c>
    </row>
    <row r="460" ht="160" customHeight="1" s="125">
      <c r="A460" s="242" t="n"/>
      <c r="B460" s="243">
        <f>"Developer's Guide: "&amp;IFERROR(LEFT('L2-D System Resilience'!D58,FIND(CHAR(10)&amp;CHAR(10)&amp;"Purpose:",'L2-D System Resilience'!D58)-1),'L2-D System Resilience'!D58)</f>
        <v/>
      </c>
      <c r="C460" s="243">
        <f>"Validator's Guide: "&amp;'L2-D System Resilience'!E58&amp;CHAR(10)&amp;"Evidence: "&amp;'L2-D System Resilience'!F58</f>
        <v/>
      </c>
      <c r="D460" s="203" t="n"/>
      <c r="E460" s="203" t="n"/>
      <c r="F460" s="204" t="n"/>
    </row>
    <row r="461" ht="29" customHeight="1" s="125">
      <c r="A461" s="244">
        <f>'L2-D System Resilience'!A59</f>
        <v/>
      </c>
      <c r="B461" s="245">
        <f>"   ↳  "&amp;IF('L2-D System Resilience'!H59="Yes","★ ","")&amp;'L2-D System Resilience'!C59</f>
        <v/>
      </c>
      <c r="C461" s="204" t="n"/>
      <c r="D461" s="240">
        <f>IF('L2-D System Resilience'!M59="Met","✓ Met",IF('L2-D System Resilience'!M59="Not Met","✗ Not met",IF('L2-D System Resilience'!M59="N/A","— N/A","○ Not tested")))</f>
        <v/>
      </c>
      <c r="E461" s="245" t="n"/>
      <c r="F461" s="245">
        <f>IF('L2-D System Resilience'!P59&lt;&gt;"",'L2-D System Resilience'!P59,"")</f>
        <v/>
      </c>
    </row>
    <row r="462" ht="29" customHeight="1" s="125">
      <c r="A462" s="244">
        <f>'L2-D System Resilience'!A60</f>
        <v/>
      </c>
      <c r="B462" s="245">
        <f>"   ↳  "&amp;IF('L2-D System Resilience'!H60="Yes","★ ","")&amp;'L2-D System Resilience'!C60</f>
        <v/>
      </c>
      <c r="C462" s="204" t="n"/>
      <c r="D462" s="240">
        <f>IF('L2-D System Resilience'!M60="Met","✓ Met",IF('L2-D System Resilience'!M60="Not Met","✗ Not met",IF('L2-D System Resilience'!M60="N/A","— N/A","○ Not tested")))</f>
        <v/>
      </c>
      <c r="E462" s="245" t="n"/>
      <c r="F462" s="245">
        <f>IF('L2-D System Resilience'!P60&lt;&gt;"",'L2-D System Resilience'!P60,"")</f>
        <v/>
      </c>
    </row>
    <row r="463" ht="29" customHeight="1" s="125">
      <c r="A463" s="244">
        <f>'L2-D System Resilience'!A61</f>
        <v/>
      </c>
      <c r="B463" s="245">
        <f>"   ↳  "&amp;IF('L2-D System Resilience'!H61="Yes","★ ","")&amp;'L2-D System Resilience'!C61</f>
        <v/>
      </c>
      <c r="C463" s="204" t="n"/>
      <c r="D463" s="240">
        <f>IF('L2-D System Resilience'!M61="Met","✓ Met",IF('L2-D System Resilience'!M61="Not Met","✗ Not met",IF('L2-D System Resilience'!M61="N/A","— N/A","○ Not tested")))</f>
        <v/>
      </c>
      <c r="E463" s="245" t="n"/>
      <c r="F463" s="245">
        <f>IF('L2-D System Resilience'!P61&lt;&gt;"",'L2-D System Resilience'!P61,"")</f>
        <v/>
      </c>
    </row>
    <row r="464" ht="56" customHeight="1" s="125">
      <c r="A464" s="238">
        <f>'L2-D System Resilience'!A62</f>
        <v/>
      </c>
      <c r="B464" s="239">
        <f>'L2-D System Resilience'!C62&amp;CHAR(10)&amp;"["&amp;'L2-D System Resilience'!B62&amp;" · "&amp;'L2-D System Resilience'!G62&amp;"]"</f>
        <v/>
      </c>
      <c r="C464" s="240">
        <f>IF('L2-D System Resilience'!I62=0,"Info only",IF('L2-D System Resilience'!H62="Yes","★ CRITICAL"&amp;CHAR(10),IF('L2-D System Resilience'!H62="★ subs","★ critical sub-items"&amp;CHAR(10),""))&amp;'L2-D System Resilience'!J62&amp;" · W"&amp;'L2-D System Resilience'!I62)</f>
        <v/>
      </c>
      <c r="D464" s="226">
        <f>IF('L2-D System Resilience'!I62=0,"— Not scored",IF('L2-D System Resilience'!J62="Tier",IF('L2-D System Resilience'!M62="Fully integrated","✓ FULLY INTEGRATED",IF('L2-D System Resilience'!M62="Not Met","✗ NOT MET",IF('L2-D System Resilience'!M62="Not Tested","○ NOT TESTED","◐ "&amp;UPPER('L2-D System Resilience'!M62)))),IF('L2-D System Resilience'!M62="Met","✓ MET",IF('L2-D System Resilience'!M62="Not Met","✗ NOT MET",IF('L2-D System Resilience'!M62="N/A","— N/A",IF('L2-D System Resilience'!M62="Counted",IF(AND('L2-D System Resilience'!N62&gt;=1,'L2-D System Resilience'!S62=0),"✓ MET",IF('L2-D System Resilience'!J62="All-or-nothing","✗ NOT MET",IF('L2-D System Resilience'!S62=1,"✗ NOT MET (★)","◐ PARTIAL")))&amp;CHAR(10)&amp;"("&amp;'L2-D System Resilience'!L62&amp;" of "&amp;'L2-D System Resilience'!K62&amp;")","○ NOT TESTED"))))))</f>
        <v/>
      </c>
      <c r="E464" s="241">
        <f>IF('L2-D System Resilience'!N62="","—",'L2-D System Resilience'!N62)</f>
        <v/>
      </c>
      <c r="F464" s="223">
        <f>'L2-D System Resilience'!O62&amp;IF('L2-D System Resilience'!P62&lt;&gt;"",CHAR(10)&amp;"Notes: "&amp;'L2-D System Resilience'!P62,"")</f>
        <v/>
      </c>
    </row>
    <row r="465" ht="136" customHeight="1" s="125">
      <c r="A465" s="242" t="n"/>
      <c r="B465" s="243">
        <f>"Developer's Guide: "&amp;IFERROR(LEFT('L2-D System Resilience'!D62,FIND(CHAR(10)&amp;CHAR(10)&amp;"Purpose:",'L2-D System Resilience'!D62)-1),'L2-D System Resilience'!D62)</f>
        <v/>
      </c>
      <c r="C465" s="243">
        <f>"Validator's Guide: "&amp;'L2-D System Resilience'!E62&amp;CHAR(10)&amp;"Evidence: "&amp;'L2-D System Resilience'!F62</f>
        <v/>
      </c>
      <c r="D465" s="203" t="n"/>
      <c r="E465" s="203" t="n"/>
      <c r="F465" s="204" t="n"/>
    </row>
    <row r="466" ht="29" customHeight="1" s="125">
      <c r="A466" s="244">
        <f>'L2-D System Resilience'!A63</f>
        <v/>
      </c>
      <c r="B466" s="245">
        <f>"   ↳  "&amp;IF('L2-D System Resilience'!H63="Yes","★ ","")&amp;'L2-D System Resilience'!C63</f>
        <v/>
      </c>
      <c r="C466" s="204" t="n"/>
      <c r="D466" s="240">
        <f>IF('L2-D System Resilience'!M63="Met","✓ Met",IF('L2-D System Resilience'!M63="Not Met","✗ Not met",IF('L2-D System Resilience'!M63="N/A","— N/A","○ Not tested")))</f>
        <v/>
      </c>
      <c r="E466" s="245" t="n"/>
      <c r="F466" s="245">
        <f>IF('L2-D System Resilience'!P63&lt;&gt;"",'L2-D System Resilience'!P63,"")</f>
        <v/>
      </c>
    </row>
    <row r="467" ht="29" customHeight="1" s="125">
      <c r="A467" s="244">
        <f>'L2-D System Resilience'!A64</f>
        <v/>
      </c>
      <c r="B467" s="245">
        <f>"   ↳  "&amp;IF('L2-D System Resilience'!H64="Yes","★ ","")&amp;'L2-D System Resilience'!C64</f>
        <v/>
      </c>
      <c r="C467" s="204" t="n"/>
      <c r="D467" s="240">
        <f>IF('L2-D System Resilience'!M64="Met","✓ Met",IF('L2-D System Resilience'!M64="Not Met","✗ Not met",IF('L2-D System Resilience'!M64="N/A","— N/A","○ Not tested")))</f>
        <v/>
      </c>
      <c r="E467" s="245" t="n"/>
      <c r="F467" s="245">
        <f>IF('L2-D System Resilience'!P64&lt;&gt;"",'L2-D System Resilience'!P64,"")</f>
        <v/>
      </c>
    </row>
    <row r="468" ht="56" customHeight="1" s="125">
      <c r="A468" s="238">
        <f>'L2-D System Resilience'!A65</f>
        <v/>
      </c>
      <c r="B468" s="239">
        <f>'L2-D System Resilience'!C65&amp;CHAR(10)&amp;"["&amp;'L2-D System Resilience'!B65&amp;" · "&amp;'L2-D System Resilience'!G65&amp;"]"</f>
        <v/>
      </c>
      <c r="C468" s="240">
        <f>IF('L2-D System Resilience'!I65=0,"Info only",IF('L2-D System Resilience'!H65="Yes","★ CRITICAL"&amp;CHAR(10),IF('L2-D System Resilience'!H65="★ subs","★ critical sub-items"&amp;CHAR(10),""))&amp;'L2-D System Resilience'!J65&amp;" · W"&amp;'L2-D System Resilience'!I65)</f>
        <v/>
      </c>
      <c r="D468" s="226">
        <f>IF('L2-D System Resilience'!I65=0,"— Not scored",IF('L2-D System Resilience'!J65="Tier",IF('L2-D System Resilience'!M65="Fully integrated","✓ FULLY INTEGRATED",IF('L2-D System Resilience'!M65="Not Met","✗ NOT MET",IF('L2-D System Resilience'!M65="Not Tested","○ NOT TESTED","◐ "&amp;UPPER('L2-D System Resilience'!M65)))),IF('L2-D System Resilience'!M65="Met","✓ MET",IF('L2-D System Resilience'!M65="Not Met","✗ NOT MET",IF('L2-D System Resilience'!M65="N/A","— N/A",IF('L2-D System Resilience'!M65="Counted",IF(AND('L2-D System Resilience'!N65&gt;=1,'L2-D System Resilience'!S65=0),"✓ MET",IF('L2-D System Resilience'!J65="All-or-nothing","✗ NOT MET",IF('L2-D System Resilience'!S65=1,"✗ NOT MET (★)","◐ PARTIAL")))&amp;CHAR(10)&amp;"("&amp;'L2-D System Resilience'!L65&amp;" of "&amp;'L2-D System Resilience'!K65&amp;")","○ NOT TESTED"))))))</f>
        <v/>
      </c>
      <c r="E468" s="241">
        <f>IF('L2-D System Resilience'!N65="","—",'L2-D System Resilience'!N65)</f>
        <v/>
      </c>
      <c r="F468" s="223">
        <f>'L2-D System Resilience'!O65&amp;IF('L2-D System Resilience'!P65&lt;&gt;"",CHAR(10)&amp;"Notes: "&amp;'L2-D System Resilience'!P65,"")</f>
        <v/>
      </c>
    </row>
    <row r="469" ht="208" customHeight="1" s="125">
      <c r="A469" s="242" t="n"/>
      <c r="B469" s="243">
        <f>"Developer's Guide: "&amp;IFERROR(LEFT('L2-D System Resilience'!D65,FIND(CHAR(10)&amp;CHAR(10)&amp;"Purpose:",'L2-D System Resilience'!D65)-1),'L2-D System Resilience'!D65)</f>
        <v/>
      </c>
      <c r="C469" s="243">
        <f>"Validator's Guide: "&amp;'L2-D System Resilience'!E65&amp;CHAR(10)&amp;"Evidence: "&amp;'L2-D System Resilience'!F65</f>
        <v/>
      </c>
      <c r="D469" s="203" t="n"/>
      <c r="E469" s="203" t="n"/>
      <c r="F469" s="204" t="n"/>
    </row>
    <row r="470" ht="29" customHeight="1" s="125">
      <c r="A470" s="244">
        <f>'L2-D System Resilience'!A66</f>
        <v/>
      </c>
      <c r="B470" s="245">
        <f>"   ↳  "&amp;IF('L2-D System Resilience'!H66="Yes","★ ","")&amp;'L2-D System Resilience'!C66</f>
        <v/>
      </c>
      <c r="C470" s="204" t="n"/>
      <c r="D470" s="240">
        <f>IF('L2-D System Resilience'!M66="Met","✓ Met",IF('L2-D System Resilience'!M66="Not Met","✗ Not met",IF('L2-D System Resilience'!M66="N/A","— N/A","○ Not tested")))</f>
        <v/>
      </c>
      <c r="E470" s="245" t="n"/>
      <c r="F470" s="245">
        <f>IF('L2-D System Resilience'!P66&lt;&gt;"",'L2-D System Resilience'!P66,"")</f>
        <v/>
      </c>
    </row>
    <row r="471" ht="29" customHeight="1" s="125">
      <c r="A471" s="244">
        <f>'L2-D System Resilience'!A67</f>
        <v/>
      </c>
      <c r="B471" s="245">
        <f>"   ↳  "&amp;IF('L2-D System Resilience'!H67="Yes","★ ","")&amp;'L2-D System Resilience'!C67</f>
        <v/>
      </c>
      <c r="C471" s="204" t="n"/>
      <c r="D471" s="240">
        <f>IF('L2-D System Resilience'!M67="Met","✓ Met",IF('L2-D System Resilience'!M67="Not Met","✗ Not met",IF('L2-D System Resilience'!M67="N/A","— N/A","○ Not tested")))</f>
        <v/>
      </c>
      <c r="E471" s="245" t="n"/>
      <c r="F471" s="245">
        <f>IF('L2-D System Resilience'!P67&lt;&gt;"",'L2-D System Resilience'!P67,"")</f>
        <v/>
      </c>
    </row>
    <row r="472" ht="69" customHeight="1" s="125">
      <c r="A472" s="238">
        <f>'L2-D System Resilience'!A68</f>
        <v/>
      </c>
      <c r="B472" s="239">
        <f>'L2-D System Resilience'!C68&amp;CHAR(10)&amp;"["&amp;'L2-D System Resilience'!B68&amp;" · "&amp;'L2-D System Resilience'!G68&amp;"]"</f>
        <v/>
      </c>
      <c r="C472" s="240">
        <f>IF('L2-D System Resilience'!I68=0,"Info only",IF('L2-D System Resilience'!H68="Yes","★ CRITICAL"&amp;CHAR(10),IF('L2-D System Resilience'!H68="★ subs","★ critical sub-items"&amp;CHAR(10),""))&amp;'L2-D System Resilience'!J68&amp;" · W"&amp;'L2-D System Resilience'!I68)</f>
        <v/>
      </c>
      <c r="D472" s="226">
        <f>IF('L2-D System Resilience'!I68=0,"— Not scored",IF('L2-D System Resilience'!J68="Tier",IF('L2-D System Resilience'!M68="Fully integrated","✓ FULLY INTEGRATED",IF('L2-D System Resilience'!M68="Not Met","✗ NOT MET",IF('L2-D System Resilience'!M68="Not Tested","○ NOT TESTED","◐ "&amp;UPPER('L2-D System Resilience'!M68)))),IF('L2-D System Resilience'!M68="Met","✓ MET",IF('L2-D System Resilience'!M68="Not Met","✗ NOT MET",IF('L2-D System Resilience'!M68="N/A","— N/A",IF('L2-D System Resilience'!M68="Counted",IF(AND('L2-D System Resilience'!N68&gt;=1,'L2-D System Resilience'!S68=0),"✓ MET",IF('L2-D System Resilience'!J68="All-or-nothing","✗ NOT MET",IF('L2-D System Resilience'!S68=1,"✗ NOT MET (★)","◐ PARTIAL")))&amp;CHAR(10)&amp;"("&amp;'L2-D System Resilience'!L68&amp;" of "&amp;'L2-D System Resilience'!K68&amp;")","○ NOT TESTED"))))))</f>
        <v/>
      </c>
      <c r="E472" s="241">
        <f>IF('L2-D System Resilience'!N68="","—",'L2-D System Resilience'!N68)</f>
        <v/>
      </c>
      <c r="F472" s="223">
        <f>'L2-D System Resilience'!O68&amp;IF('L2-D System Resilience'!P68&lt;&gt;"",CHAR(10)&amp;"Notes: "&amp;'L2-D System Resilience'!P68,"")</f>
        <v/>
      </c>
    </row>
    <row r="473" ht="208" customHeight="1" s="125">
      <c r="A473" s="242" t="n"/>
      <c r="B473" s="243">
        <f>"Developer's Guide: "&amp;IFERROR(LEFT('L2-D System Resilience'!D68,FIND(CHAR(10)&amp;CHAR(10)&amp;"Purpose:",'L2-D System Resilience'!D68)-1),'L2-D System Resilience'!D68)</f>
        <v/>
      </c>
      <c r="C473" s="243">
        <f>"Validator's Guide: "&amp;'L2-D System Resilience'!E68&amp;CHAR(10)&amp;"Evidence: "&amp;'L2-D System Resilience'!F68</f>
        <v/>
      </c>
      <c r="D473" s="203" t="n"/>
      <c r="E473" s="203" t="n"/>
      <c r="F473" s="204" t="n"/>
    </row>
    <row r="474" ht="29" customHeight="1" s="125">
      <c r="A474" s="244">
        <f>'L2-D System Resilience'!A69</f>
        <v/>
      </c>
      <c r="B474" s="245">
        <f>"   ↳  "&amp;IF('L2-D System Resilience'!H69="Yes","★ ","")&amp;'L2-D System Resilience'!C69</f>
        <v/>
      </c>
      <c r="C474" s="204" t="n"/>
      <c r="D474" s="240">
        <f>IF('L2-D System Resilience'!M69="Met","✓ Met",IF('L2-D System Resilience'!M69="Not Met","✗ Not met",IF('L2-D System Resilience'!M69="N/A","— N/A","○ Not tested")))</f>
        <v/>
      </c>
      <c r="E474" s="245" t="n"/>
      <c r="F474" s="245">
        <f>IF('L2-D System Resilience'!P69&lt;&gt;"",'L2-D System Resilience'!P69,"")</f>
        <v/>
      </c>
    </row>
    <row r="475" ht="29" customHeight="1" s="125">
      <c r="A475" s="244">
        <f>'L2-D System Resilience'!A70</f>
        <v/>
      </c>
      <c r="B475" s="245">
        <f>"   ↳  "&amp;IF('L2-D System Resilience'!H70="Yes","★ ","")&amp;'L2-D System Resilience'!C70</f>
        <v/>
      </c>
      <c r="C475" s="204" t="n"/>
      <c r="D475" s="240">
        <f>IF('L2-D System Resilience'!M70="Met","✓ Met",IF('L2-D System Resilience'!M70="Not Met","✗ Not met",IF('L2-D System Resilience'!M70="N/A","— N/A","○ Not tested")))</f>
        <v/>
      </c>
      <c r="E475" s="245" t="n"/>
      <c r="F475" s="245">
        <f>IF('L2-D System Resilience'!P70&lt;&gt;"",'L2-D System Resilience'!P70,"")</f>
        <v/>
      </c>
    </row>
    <row r="476" ht="29" customHeight="1" s="125">
      <c r="A476" s="244">
        <f>'L2-D System Resilience'!A71</f>
        <v/>
      </c>
      <c r="B476" s="245">
        <f>"   ↳  "&amp;IF('L2-D System Resilience'!H71="Yes","★ ","")&amp;'L2-D System Resilience'!C71</f>
        <v/>
      </c>
      <c r="C476" s="204" t="n"/>
      <c r="D476" s="240">
        <f>IF('L2-D System Resilience'!M71="Met","✓ Met",IF('L2-D System Resilience'!M71="Not Met","✗ Not met",IF('L2-D System Resilience'!M71="N/A","— N/A","○ Not tested")))</f>
        <v/>
      </c>
      <c r="E476" s="245" t="n"/>
      <c r="F476" s="245">
        <f>IF('L2-D System Resilience'!P71&lt;&gt;"",'L2-D System Resilience'!P71,"")</f>
        <v/>
      </c>
    </row>
    <row r="477" ht="56" customHeight="1" s="125">
      <c r="A477" s="238">
        <f>'L2-D System Resilience'!A72</f>
        <v/>
      </c>
      <c r="B477" s="239">
        <f>'L2-D System Resilience'!C72&amp;CHAR(10)&amp;"["&amp;'L2-D System Resilience'!B72&amp;" · "&amp;'L2-D System Resilience'!G72&amp;"]"</f>
        <v/>
      </c>
      <c r="C477" s="240">
        <f>IF('L2-D System Resilience'!I72=0,"Info only",IF('L2-D System Resilience'!H72="Yes","★ CRITICAL"&amp;CHAR(10),IF('L2-D System Resilience'!H72="★ subs","★ critical sub-items"&amp;CHAR(10),""))&amp;'L2-D System Resilience'!J72&amp;" · W"&amp;'L2-D System Resilience'!I72)</f>
        <v/>
      </c>
      <c r="D477" s="226">
        <f>IF('L2-D System Resilience'!I72=0,"— Not scored",IF('L2-D System Resilience'!J72="Tier",IF('L2-D System Resilience'!M72="Fully integrated","✓ FULLY INTEGRATED",IF('L2-D System Resilience'!M72="Not Met","✗ NOT MET",IF('L2-D System Resilience'!M72="Not Tested","○ NOT TESTED","◐ "&amp;UPPER('L2-D System Resilience'!M72)))),IF('L2-D System Resilience'!M72="Met","✓ MET",IF('L2-D System Resilience'!M72="Not Met","✗ NOT MET",IF('L2-D System Resilience'!M72="N/A","— N/A",IF('L2-D System Resilience'!M72="Counted",IF(AND('L2-D System Resilience'!N72&gt;=1,'L2-D System Resilience'!S72=0),"✓ MET",IF('L2-D System Resilience'!J72="All-or-nothing","✗ NOT MET",IF('L2-D System Resilience'!S72=1,"✗ NOT MET (★)","◐ PARTIAL")))&amp;CHAR(10)&amp;"("&amp;'L2-D System Resilience'!L72&amp;" of "&amp;'L2-D System Resilience'!K72&amp;")","○ NOT TESTED"))))))</f>
        <v/>
      </c>
      <c r="E477" s="241">
        <f>IF('L2-D System Resilience'!N72="","—",'L2-D System Resilience'!N72)</f>
        <v/>
      </c>
      <c r="F477" s="223">
        <f>'L2-D System Resilience'!O72&amp;IF('L2-D System Resilience'!P72&lt;&gt;"",CHAR(10)&amp;"Notes: "&amp;'L2-D System Resilience'!P72,"")</f>
        <v/>
      </c>
    </row>
    <row r="478" ht="196" customHeight="1" s="125">
      <c r="A478" s="242" t="n"/>
      <c r="B478" s="243">
        <f>"Developer's Guide: "&amp;IFERROR(LEFT('L2-D System Resilience'!D72,FIND(CHAR(10)&amp;CHAR(10)&amp;"Purpose:",'L2-D System Resilience'!D72)-1),'L2-D System Resilience'!D72)</f>
        <v/>
      </c>
      <c r="C478" s="243">
        <f>"Validator's Guide: "&amp;'L2-D System Resilience'!E72&amp;CHAR(10)&amp;"Evidence: "&amp;'L2-D System Resilience'!F72</f>
        <v/>
      </c>
      <c r="D478" s="203" t="n"/>
      <c r="E478" s="203" t="n"/>
      <c r="F478" s="204" t="n"/>
    </row>
    <row r="479" ht="29" customHeight="1" s="125">
      <c r="A479" s="244">
        <f>'L2-D System Resilience'!A73</f>
        <v/>
      </c>
      <c r="B479" s="245">
        <f>"   ↳  "&amp;IF('L2-D System Resilience'!H73="Yes","★ ","")&amp;'L2-D System Resilience'!C73</f>
        <v/>
      </c>
      <c r="C479" s="204" t="n"/>
      <c r="D479" s="240">
        <f>IF('L2-D System Resilience'!M73="Met","✓ Met",IF('L2-D System Resilience'!M73="Not Met","✗ Not met",IF('L2-D System Resilience'!M73="N/A","— N/A","○ Not tested")))</f>
        <v/>
      </c>
      <c r="E479" s="245" t="n"/>
      <c r="F479" s="245">
        <f>IF('L2-D System Resilience'!P73&lt;&gt;"",'L2-D System Resilience'!P73,"")</f>
        <v/>
      </c>
    </row>
    <row r="480" ht="29" customHeight="1" s="125">
      <c r="A480" s="244">
        <f>'L2-D System Resilience'!A74</f>
        <v/>
      </c>
      <c r="B480" s="245">
        <f>"   ↳  "&amp;IF('L2-D System Resilience'!H74="Yes","★ ","")&amp;'L2-D System Resilience'!C74</f>
        <v/>
      </c>
      <c r="C480" s="204" t="n"/>
      <c r="D480" s="240">
        <f>IF('L2-D System Resilience'!M74="Met","✓ Met",IF('L2-D System Resilience'!M74="Not Met","✗ Not met",IF('L2-D System Resilience'!M74="N/A","— N/A","○ Not tested")))</f>
        <v/>
      </c>
      <c r="E480" s="245" t="n"/>
      <c r="F480" s="245">
        <f>IF('L2-D System Resilience'!P74&lt;&gt;"",'L2-D System Resilience'!P74,"")</f>
        <v/>
      </c>
    </row>
    <row r="481" ht="56" customHeight="1" s="125">
      <c r="A481" s="238">
        <f>'L2-D System Resilience'!A75</f>
        <v/>
      </c>
      <c r="B481" s="239">
        <f>'L2-D System Resilience'!C75&amp;CHAR(10)&amp;"["&amp;'L2-D System Resilience'!B75&amp;" · "&amp;'L2-D System Resilience'!G75&amp;"]"</f>
        <v/>
      </c>
      <c r="C481" s="240">
        <f>IF('L2-D System Resilience'!I75=0,"Info only",IF('L2-D System Resilience'!H75="Yes","★ CRITICAL"&amp;CHAR(10),IF('L2-D System Resilience'!H75="★ subs","★ critical sub-items"&amp;CHAR(10),""))&amp;'L2-D System Resilience'!J75&amp;" · W"&amp;'L2-D System Resilience'!I75)</f>
        <v/>
      </c>
      <c r="D481" s="226">
        <f>IF('L2-D System Resilience'!I75=0,"— Not scored",IF('L2-D System Resilience'!J75="Tier",IF('L2-D System Resilience'!M75="Fully integrated","✓ FULLY INTEGRATED",IF('L2-D System Resilience'!M75="Not Met","✗ NOT MET",IF('L2-D System Resilience'!M75="Not Tested","○ NOT TESTED","◐ "&amp;UPPER('L2-D System Resilience'!M75)))),IF('L2-D System Resilience'!M75="Met","✓ MET",IF('L2-D System Resilience'!M75="Not Met","✗ NOT MET",IF('L2-D System Resilience'!M75="N/A","— N/A",IF('L2-D System Resilience'!M75="Counted",IF(AND('L2-D System Resilience'!N75&gt;=1,'L2-D System Resilience'!S75=0),"✓ MET",IF('L2-D System Resilience'!J75="All-or-nothing","✗ NOT MET",IF('L2-D System Resilience'!S75=1,"✗ NOT MET (★)","◐ PARTIAL")))&amp;CHAR(10)&amp;"("&amp;'L2-D System Resilience'!L75&amp;" of "&amp;'L2-D System Resilience'!K75&amp;")","○ NOT TESTED"))))))</f>
        <v/>
      </c>
      <c r="E481" s="241">
        <f>IF('L2-D System Resilience'!N75="","—",'L2-D System Resilience'!N75)</f>
        <v/>
      </c>
      <c r="F481" s="223">
        <f>'L2-D System Resilience'!O75&amp;IF('L2-D System Resilience'!P75&lt;&gt;"",CHAR(10)&amp;"Notes: "&amp;'L2-D System Resilience'!P75,"")</f>
        <v/>
      </c>
    </row>
    <row r="482" ht="172" customHeight="1" s="125">
      <c r="A482" s="242" t="n"/>
      <c r="B482" s="243">
        <f>"Developer's Guide: "&amp;IFERROR(LEFT('L2-D System Resilience'!D75,FIND(CHAR(10)&amp;CHAR(10)&amp;"Purpose:",'L2-D System Resilience'!D75)-1),'L2-D System Resilience'!D75)</f>
        <v/>
      </c>
      <c r="C482" s="243">
        <f>"Validator's Guide: "&amp;'L2-D System Resilience'!E75&amp;CHAR(10)&amp;"Evidence: "&amp;'L2-D System Resilience'!F75</f>
        <v/>
      </c>
      <c r="D482" s="203" t="n"/>
      <c r="E482" s="203" t="n"/>
      <c r="F482" s="204" t="n"/>
    </row>
    <row r="483" ht="29" customHeight="1" s="125">
      <c r="A483" s="244">
        <f>'L2-D System Resilience'!A76</f>
        <v/>
      </c>
      <c r="B483" s="245">
        <f>"   ↳  "&amp;IF('L2-D System Resilience'!H76="Yes","★ ","")&amp;'L2-D System Resilience'!C76</f>
        <v/>
      </c>
      <c r="C483" s="204" t="n"/>
      <c r="D483" s="240">
        <f>IF('L2-D System Resilience'!M76="Met","✓ Met",IF('L2-D System Resilience'!M76="Not Met","✗ Not met",IF('L2-D System Resilience'!M76="N/A","— N/A","○ Not tested")))</f>
        <v/>
      </c>
      <c r="E483" s="245" t="n"/>
      <c r="F483" s="245">
        <f>IF('L2-D System Resilience'!P76&lt;&gt;"",'L2-D System Resilience'!P76,"")</f>
        <v/>
      </c>
    </row>
    <row r="484" ht="29" customHeight="1" s="125">
      <c r="A484" s="244">
        <f>'L2-D System Resilience'!A77</f>
        <v/>
      </c>
      <c r="B484" s="245">
        <f>"   ↳  "&amp;IF('L2-D System Resilience'!H77="Yes","★ ","")&amp;'L2-D System Resilience'!C77</f>
        <v/>
      </c>
      <c r="C484" s="204" t="n"/>
      <c r="D484" s="240">
        <f>IF('L2-D System Resilience'!M77="Met","✓ Met",IF('L2-D System Resilience'!M77="Not Met","✗ Not met",IF('L2-D System Resilience'!M77="N/A","— N/A","○ Not tested")))</f>
        <v/>
      </c>
      <c r="E484" s="245" t="n"/>
      <c r="F484" s="245">
        <f>IF('L2-D System Resilience'!P77&lt;&gt;"",'L2-D System Resilience'!P77,"")</f>
        <v/>
      </c>
    </row>
    <row r="485" ht="56" customHeight="1" s="125">
      <c r="A485" s="238">
        <f>'L2-D System Resilience'!A78</f>
        <v/>
      </c>
      <c r="B485" s="239">
        <f>'L2-D System Resilience'!C78&amp;CHAR(10)&amp;"["&amp;'L2-D System Resilience'!B78&amp;" · "&amp;'L2-D System Resilience'!G78&amp;"]"</f>
        <v/>
      </c>
      <c r="C485" s="240">
        <f>IF('L2-D System Resilience'!I78=0,"Info only",IF('L2-D System Resilience'!H78="Yes","★ CRITICAL"&amp;CHAR(10),IF('L2-D System Resilience'!H78="★ subs","★ critical sub-items"&amp;CHAR(10),""))&amp;'L2-D System Resilience'!J78&amp;" · W"&amp;'L2-D System Resilience'!I78)</f>
        <v/>
      </c>
      <c r="D485" s="226">
        <f>IF('L2-D System Resilience'!I78=0,"— Not scored",IF('L2-D System Resilience'!J78="Tier",IF('L2-D System Resilience'!M78="Fully integrated","✓ FULLY INTEGRATED",IF('L2-D System Resilience'!M78="Not Met","✗ NOT MET",IF('L2-D System Resilience'!M78="Not Tested","○ NOT TESTED","◐ "&amp;UPPER('L2-D System Resilience'!M78)))),IF('L2-D System Resilience'!M78="Met","✓ MET",IF('L2-D System Resilience'!M78="Not Met","✗ NOT MET",IF('L2-D System Resilience'!M78="N/A","— N/A",IF('L2-D System Resilience'!M78="Counted",IF(AND('L2-D System Resilience'!N78&gt;=1,'L2-D System Resilience'!S78=0),"✓ MET",IF('L2-D System Resilience'!J78="All-or-nothing","✗ NOT MET",IF('L2-D System Resilience'!S78=1,"✗ NOT MET (★)","◐ PARTIAL")))&amp;CHAR(10)&amp;"("&amp;'L2-D System Resilience'!L78&amp;" of "&amp;'L2-D System Resilience'!K78&amp;")","○ NOT TESTED"))))))</f>
        <v/>
      </c>
      <c r="E485" s="241">
        <f>IF('L2-D System Resilience'!N78="","—",'L2-D System Resilience'!N78)</f>
        <v/>
      </c>
      <c r="F485" s="223">
        <f>'L2-D System Resilience'!O78&amp;IF('L2-D System Resilience'!P78&lt;&gt;"",CHAR(10)&amp;"Notes: "&amp;'L2-D System Resilience'!P78,"")</f>
        <v/>
      </c>
    </row>
    <row r="486" ht="160" customHeight="1" s="125">
      <c r="A486" s="242" t="n"/>
      <c r="B486" s="243">
        <f>"Developer's Guide: "&amp;IFERROR(LEFT('L2-D System Resilience'!D78,FIND(CHAR(10)&amp;CHAR(10)&amp;"Purpose:",'L2-D System Resilience'!D78)-1),'L2-D System Resilience'!D78)</f>
        <v/>
      </c>
      <c r="C486" s="243">
        <f>"Validator's Guide: "&amp;'L2-D System Resilience'!E78&amp;CHAR(10)&amp;"Evidence: "&amp;'L2-D System Resilience'!F78</f>
        <v/>
      </c>
      <c r="D486" s="203" t="n"/>
      <c r="E486" s="203" t="n"/>
      <c r="F486" s="204" t="n"/>
    </row>
    <row r="487" ht="56" customHeight="1" s="125">
      <c r="A487" s="238">
        <f>'L2-D System Resilience'!A79</f>
        <v/>
      </c>
      <c r="B487" s="239">
        <f>'L2-D System Resilience'!C79&amp;CHAR(10)&amp;"["&amp;'L2-D System Resilience'!B79&amp;" · "&amp;'L2-D System Resilience'!G79&amp;"]"</f>
        <v/>
      </c>
      <c r="C487" s="240">
        <f>IF('L2-D System Resilience'!I79=0,"Info only",IF('L2-D System Resilience'!H79="Yes","★ CRITICAL"&amp;CHAR(10),IF('L2-D System Resilience'!H79="★ subs","★ critical sub-items"&amp;CHAR(10),""))&amp;'L2-D System Resilience'!J79&amp;" · W"&amp;'L2-D System Resilience'!I79)</f>
        <v/>
      </c>
      <c r="D487" s="226">
        <f>IF('L2-D System Resilience'!I79=0,"— Not scored",IF('L2-D System Resilience'!J79="Tier",IF('L2-D System Resilience'!M79="Fully integrated","✓ FULLY INTEGRATED",IF('L2-D System Resilience'!M79="Not Met","✗ NOT MET",IF('L2-D System Resilience'!M79="Not Tested","○ NOT TESTED","◐ "&amp;UPPER('L2-D System Resilience'!M79)))),IF('L2-D System Resilience'!M79="Met","✓ MET",IF('L2-D System Resilience'!M79="Not Met","✗ NOT MET",IF('L2-D System Resilience'!M79="N/A","— N/A",IF('L2-D System Resilience'!M79="Counted",IF(AND('L2-D System Resilience'!N79&gt;=1,'L2-D System Resilience'!S79=0),"✓ MET",IF('L2-D System Resilience'!J79="All-or-nothing","✗ NOT MET",IF('L2-D System Resilience'!S79=1,"✗ NOT MET (★)","◐ PARTIAL")))&amp;CHAR(10)&amp;"("&amp;'L2-D System Resilience'!L79&amp;" of "&amp;'L2-D System Resilience'!K79&amp;")","○ NOT TESTED"))))))</f>
        <v/>
      </c>
      <c r="E487" s="241">
        <f>IF('L2-D System Resilience'!N79="","—",'L2-D System Resilience'!N79)</f>
        <v/>
      </c>
      <c r="F487" s="223">
        <f>'L2-D System Resilience'!O79&amp;IF('L2-D System Resilience'!P79&lt;&gt;"",CHAR(10)&amp;"Notes: "&amp;'L2-D System Resilience'!P79,"")</f>
        <v/>
      </c>
    </row>
    <row r="488" ht="160" customHeight="1" s="125">
      <c r="A488" s="242" t="n"/>
      <c r="B488" s="243">
        <f>"Developer's Guide: "&amp;IFERROR(LEFT('L2-D System Resilience'!D79,FIND(CHAR(10)&amp;CHAR(10)&amp;"Purpose:",'L2-D System Resilience'!D79)-1),'L2-D System Resilience'!D79)</f>
        <v/>
      </c>
      <c r="C488" s="243">
        <f>"Validator's Guide: "&amp;'L2-D System Resilience'!E79&amp;CHAR(10)&amp;"Evidence: "&amp;'L2-D System Resilience'!F79</f>
        <v/>
      </c>
      <c r="D488" s="203" t="n"/>
      <c r="E488" s="203" t="n"/>
      <c r="F488" s="204" t="n"/>
    </row>
    <row r="489" ht="29" customHeight="1" s="125">
      <c r="A489" s="244">
        <f>'L2-D System Resilience'!A80</f>
        <v/>
      </c>
      <c r="B489" s="245">
        <f>"   ↳  "&amp;IF('L2-D System Resilience'!H80="Yes","★ ","")&amp;'L2-D System Resilience'!C80</f>
        <v/>
      </c>
      <c r="C489" s="204" t="n"/>
      <c r="D489" s="240">
        <f>IF('L2-D System Resilience'!M80="Met","✓ Met",IF('L2-D System Resilience'!M80="Not Met","✗ Not met",IF('L2-D System Resilience'!M80="N/A","— N/A","○ Not tested")))</f>
        <v/>
      </c>
      <c r="E489" s="245" t="n"/>
      <c r="F489" s="245">
        <f>IF('L2-D System Resilience'!P80&lt;&gt;"",'L2-D System Resilience'!P80,"")</f>
        <v/>
      </c>
    </row>
    <row r="490" ht="29" customHeight="1" s="125">
      <c r="A490" s="244">
        <f>'L2-D System Resilience'!A81</f>
        <v/>
      </c>
      <c r="B490" s="245">
        <f>"   ↳  "&amp;IF('L2-D System Resilience'!H81="Yes","★ ","")&amp;'L2-D System Resilience'!C81</f>
        <v/>
      </c>
      <c r="C490" s="204" t="n"/>
      <c r="D490" s="240">
        <f>IF('L2-D System Resilience'!M81="Met","✓ Met",IF('L2-D System Resilience'!M81="Not Met","✗ Not met",IF('L2-D System Resilience'!M81="N/A","— N/A","○ Not tested")))</f>
        <v/>
      </c>
      <c r="E490" s="245" t="n"/>
      <c r="F490" s="245">
        <f>IF('L2-D System Resilience'!P81&lt;&gt;"",'L2-D System Resilience'!P81,"")</f>
        <v/>
      </c>
    </row>
    <row r="491" ht="29" customHeight="1" s="125">
      <c r="A491" s="244">
        <f>'L2-D System Resilience'!A82</f>
        <v/>
      </c>
      <c r="B491" s="245">
        <f>"   ↳  "&amp;IF('L2-D System Resilience'!H82="Yes","★ ","")&amp;'L2-D System Resilience'!C82</f>
        <v/>
      </c>
      <c r="C491" s="204" t="n"/>
      <c r="D491" s="240">
        <f>IF('L2-D System Resilience'!M82="Met","✓ Met",IF('L2-D System Resilience'!M82="Not Met","✗ Not met",IF('L2-D System Resilience'!M82="N/A","— N/A","○ Not tested")))</f>
        <v/>
      </c>
      <c r="E491" s="245" t="n"/>
      <c r="F491" s="245">
        <f>IF('L2-D System Resilience'!P82&lt;&gt;"",'L2-D System Resilience'!P82,"")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unreleased draft · branch main · commit a02e58b · built 2026-10-19 11:55 PHT</oddHeader>
    <oddFooter>&amp;L&amp;7 Healthcare Interoperability Readiness Matrix for EMR Systems&amp;C&amp;7 Page &amp;P of &amp;N</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2026-10-19T03:55:54Z</dcterms:modified>
  <cp:lastModifiedBy>Joemar Pelegrino</cp:lastModifiedBy>
  <cp:revision>0</cp:revision>
  <cp:lastPrinted>2026-09-30T17:03:59Z</cp:lastPrinted>
</cp:coreProperties>
</file>