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7" fillId="9"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HIE System Validation Testing Criteria</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v1.0.0-rc1+dev · branch main · commit 073e132 (built 2026-10-15 03:13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HIE System Validation Testing Criteria,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HIE System Validation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2" t="inlineStr">
        <is>
          <t>L0-02.1</t>
        </is>
      </c>
      <c r="B12" s="193" t="inlineStr">
        <is>
          <t>↳ sub-item</t>
        </is>
      </c>
      <c r="C12" s="192" t="inlineStr">
        <is>
          <t>Product / technical lead named (position, email, mobile)</t>
        </is>
      </c>
      <c r="D12" s="194" t="inlineStr">
        <is>
          <t>(part of L0-02)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29" customHeight="1" s="125">
      <c r="A13" s="192" t="inlineStr">
        <is>
          <t>L0-02.2</t>
        </is>
      </c>
      <c r="B13" s="193" t="inlineStr">
        <is>
          <t>↳ sub-item</t>
        </is>
      </c>
      <c r="C13" s="192" t="inlineStr">
        <is>
          <t>Integration (FHIR) developer named (position, email, mobile)</t>
        </is>
      </c>
      <c r="D13" s="194" t="inlineStr">
        <is>
          <t>(part of L0-02)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L0-02.3</t>
        </is>
      </c>
      <c r="B14" s="193" t="inlineStr">
        <is>
          <t>↳ sub-item</t>
        </is>
      </c>
      <c r="C14" s="192" t="inlineStr">
        <is>
          <t>Data privacy contact named (position, email, mobile)</t>
        </is>
      </c>
      <c r="D14" s="194" t="inlineStr">
        <is>
          <t>(part of L0-02)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2" t="inlineStr">
        <is>
          <t>L0-05.1</t>
        </is>
      </c>
      <c r="B18" s="193" t="inlineStr">
        <is>
          <t>↳ sub-item</t>
        </is>
      </c>
      <c r="C18" s="192" t="inlineStr">
        <is>
          <t>Product / technical lead attended the coordination meeting</t>
        </is>
      </c>
      <c r="D18" s="194" t="inlineStr">
        <is>
          <t>(part of L0-05)</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29" customHeight="1" s="125">
      <c r="A19" s="192" t="inlineStr">
        <is>
          <t>L0-05.2</t>
        </is>
      </c>
      <c r="B19" s="193" t="inlineStr">
        <is>
          <t>↳ sub-item</t>
        </is>
      </c>
      <c r="C19" s="192" t="inlineStr">
        <is>
          <t>Integration (FHIR) developer attended the coordination meeting</t>
        </is>
      </c>
      <c r="D19" s="194" t="inlineStr">
        <is>
          <t>(part of L0-05)</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29" customHeight="1" s="125">
      <c r="A20" s="192" t="inlineStr">
        <is>
          <t>L0-05.3</t>
        </is>
      </c>
      <c r="B20" s="193" t="inlineStr">
        <is>
          <t>↳ sub-item</t>
        </is>
      </c>
      <c r="C20" s="192" t="inlineStr">
        <is>
          <t>Data privacy contact attended the coordination meeting</t>
        </is>
      </c>
      <c r="D20" s="194" t="inlineStr">
        <is>
          <t>(part of L0-05)</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L1-02.1</t>
        </is>
      </c>
      <c r="B12" s="193" t="inlineStr">
        <is>
          <t>↳ sub-item</t>
        </is>
      </c>
      <c r="C12" s="192" t="inlineStr">
        <is>
          <t>System overview &amp; user roles</t>
        </is>
      </c>
      <c r="D12" s="194" t="inlineStr">
        <is>
          <t>(part of L1-02)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L1-02.2</t>
        </is>
      </c>
      <c r="B13" s="193" t="inlineStr">
        <is>
          <t>↳ sub-item</t>
        </is>
      </c>
      <c r="C13" s="192" t="inlineStr">
        <is>
          <t>Referring workflow step-by-step</t>
        </is>
      </c>
      <c r="D13" s="194" t="inlineStr">
        <is>
          <t>(part of L1-02)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L1-02.3</t>
        </is>
      </c>
      <c r="B14" s="193" t="inlineStr">
        <is>
          <t>↳ sub-item</t>
        </is>
      </c>
      <c r="C14" s="192" t="inlineStr">
        <is>
          <t>Receiving workflow step-by-step</t>
        </is>
      </c>
      <c r="D14" s="194" t="inlineStr">
        <is>
          <t>(part of L1-02)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L1-02.4</t>
        </is>
      </c>
      <c r="B15" s="193" t="inlineStr">
        <is>
          <t>↳ sub-item</t>
        </is>
      </c>
      <c r="C15" s="192" t="inlineStr">
        <is>
          <t>Back-referral workflow</t>
        </is>
      </c>
      <c r="D15" s="194" t="inlineStr">
        <is>
          <t>(part of L1-02)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29" customHeight="1" s="125">
      <c r="A16" s="192" t="inlineStr">
        <is>
          <t>L1-02.5</t>
        </is>
      </c>
      <c r="B16" s="193" t="inlineStr">
        <is>
          <t>↳ sub-item</t>
        </is>
      </c>
      <c r="C16" s="192" t="inlineStr">
        <is>
          <t>Server status check &amp; downtime / offline behaviour</t>
        </is>
      </c>
      <c r="D16" s="194" t="inlineStr">
        <is>
          <t>(part of L1-02)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L1-02.6</t>
        </is>
      </c>
      <c r="B17" s="193" t="inlineStr">
        <is>
          <t>↳ sub-item</t>
        </is>
      </c>
      <c r="C17" s="192" t="inlineStr">
        <is>
          <t>Troubleshooting &amp; error messages</t>
        </is>
      </c>
      <c r="D17" s="194" t="inlineStr">
        <is>
          <t>(part of L1-02)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L1-02.7</t>
        </is>
      </c>
      <c r="B18" s="193" t="inlineStr">
        <is>
          <t>↳ sub-item</t>
        </is>
      </c>
      <c r="C18" s="192" t="inlineStr">
        <is>
          <t>Vendor support contacts &amp; escalation</t>
        </is>
      </c>
      <c r="D18" s="194" t="inlineStr">
        <is>
          <t>(part of L1-02)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2" t="inlineStr">
        <is>
          <t>L1-05.1</t>
        </is>
      </c>
      <c r="B22" s="193" t="inlineStr">
        <is>
          <t>↳ sub-item</t>
        </is>
      </c>
      <c r="C22" s="192" t="inlineStr">
        <is>
          <t>Authentication &amp; role-based access (TB-05, TB-06, TB-07)</t>
        </is>
      </c>
      <c r="D22" s="194" t="inlineStr">
        <is>
          <t>(part of L1-05)</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Met","("&amp;1&amp;") "&amp;IF(H22="Yes","★ ","")&amp;C22,"")</f>
        <v/>
      </c>
    </row>
    <row r="23" ht="15.5" customHeight="1" s="125">
      <c r="A23" s="192" t="inlineStr">
        <is>
          <t>L1-05.2</t>
        </is>
      </c>
      <c r="B23" s="193" t="inlineStr">
        <is>
          <t>↳ sub-item</t>
        </is>
      </c>
      <c r="C23" s="192" t="inlineStr">
        <is>
          <t>Audit logging (TB-08)</t>
        </is>
      </c>
      <c r="D23" s="194" t="inlineStr">
        <is>
          <t>(part of L1-05)</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Met","("&amp;2&amp;") "&amp;IF(H23="Yes","★ ","")&amp;C23,"")</f>
        <v/>
      </c>
    </row>
    <row r="24" ht="29" customHeight="1" s="125">
      <c r="A24" s="192" t="inlineStr">
        <is>
          <t>L1-05.3</t>
        </is>
      </c>
      <c r="B24" s="193" t="inlineStr">
        <is>
          <t>↳ sub-item</t>
        </is>
      </c>
      <c r="C24" s="192" t="inlineStr">
        <is>
          <t>Encryption in transit and at rest, password storage (TB-01 to TB-04)</t>
        </is>
      </c>
      <c r="D24" s="194" t="inlineStr">
        <is>
          <t>(part of L1-05)</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Met","("&amp;3&amp;") "&amp;IF(H24="Yes","★ ","")&amp;C24,"")</f>
        <v/>
      </c>
    </row>
    <row r="25" ht="42.5" customHeight="1" s="125">
      <c r="A25" s="192" t="inlineStr">
        <is>
          <t>L1-05.4</t>
        </is>
      </c>
      <c r="B25" s="193" t="inlineStr">
        <is>
          <t>↳ sub-item</t>
        </is>
      </c>
      <c r="C25" s="192" t="inlineStr">
        <is>
          <t>Backup &amp; recovery of data held only in the system — user accounts / credentials, audit trail, configuration (TB-09)</t>
        </is>
      </c>
      <c r="D25" s="194" t="inlineStr">
        <is>
          <t>(part of L1-05)</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Met","("&amp;4&amp;") "&amp;IF(H25="Yes","★ ","")&amp;C25,"")</f>
        <v/>
      </c>
    </row>
    <row r="26" ht="56" customHeight="1" s="125">
      <c r="A26" s="192" t="inlineStr">
        <is>
          <t>L1-05.5</t>
        </is>
      </c>
      <c r="B26" s="193" t="inlineStr">
        <is>
          <t>↳ sub-item</t>
        </is>
      </c>
      <c r="C26" s="192" t="inlineStr">
        <is>
          <t>Privacy-by-design / privacy-by-default — data minimisation, retention and secure disposal (TB-11; NPC Circular 2023-06 §7–9, §28–30)</t>
        </is>
      </c>
      <c r="D26" s="194" t="inlineStr">
        <is>
          <t>(part of L1-05)</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7">
        <f>COUNTA(A11:A14)-COUNTIF(M11:M14,"N/A")</f>
        <v/>
      </c>
      <c r="L10" s="197">
        <f>COUNTIF(M11:M14,"Met")</f>
        <v/>
      </c>
      <c r="M10" s="197">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2" t="inlineStr">
        <is>
          <t>TS0-01.1</t>
        </is>
      </c>
      <c r="B11" s="193" t="inlineStr">
        <is>
          <t>↳ sub-item</t>
        </is>
      </c>
      <c r="C11" s="192" t="inlineStr">
        <is>
          <t>Sex — AdministrativeGender (required binding)</t>
        </is>
      </c>
      <c r="D11" s="194" t="inlineStr">
        <is>
          <t>(part of TS0-01)</t>
        </is>
      </c>
      <c r="E11" s="195" t="n"/>
      <c r="F11" s="195" t="n"/>
      <c r="G11" s="195" t="n"/>
      <c r="H11" s="188" t="inlineStr">
        <is>
          <t>Yes</t>
        </is>
      </c>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29" customHeight="1" s="125">
      <c r="A12" s="192" t="inlineStr">
        <is>
          <t>TS0-01.2</t>
        </is>
      </c>
      <c r="B12" s="193" t="inlineStr">
        <is>
          <t>↳ sub-item</t>
        </is>
      </c>
      <c r="C12" s="192" t="inlineStr">
        <is>
          <t>Contact number — ContactPointSystem / ContactPointUse (required binding)</t>
        </is>
      </c>
      <c r="D12" s="194" t="inlineStr">
        <is>
          <t>(part of TS0-01)</t>
        </is>
      </c>
      <c r="E12" s="195" t="n"/>
      <c r="F12" s="195" t="n"/>
      <c r="G12" s="195" t="n"/>
      <c r="H12" s="188" t="inlineStr">
        <is>
          <t>Yes</t>
        </is>
      </c>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TS0-01.3</t>
        </is>
      </c>
      <c r="B13" s="193" t="inlineStr">
        <is>
          <t>↳ sub-item</t>
        </is>
      </c>
      <c r="C13" s="192" t="inlineStr">
        <is>
          <t>Civil status — MaritalStatus value set (required binding in ERefPatient)</t>
        </is>
      </c>
      <c r="D13" s="194" t="inlineStr">
        <is>
          <t>(part of TS0-01)</t>
        </is>
      </c>
      <c r="E13" s="195" t="n"/>
      <c r="F13" s="195" t="n"/>
      <c r="G13" s="195" t="n"/>
      <c r="H13" s="188"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TS0-01.4</t>
        </is>
      </c>
      <c r="B14" s="193" t="inlineStr">
        <is>
          <t>↳ sub-item</t>
        </is>
      </c>
      <c r="C14" s="192" t="inlineStr">
        <is>
          <t>Accompanied by / next of kin relationship — RelatedPerson relationship type (required binding on Patient.contact.relationship)</t>
        </is>
      </c>
      <c r="D14" s="194" t="inlineStr">
        <is>
          <t>(part of TS0-01)</t>
        </is>
      </c>
      <c r="E14" s="195" t="n"/>
      <c r="F14" s="195" t="n"/>
      <c r="G14" s="195" t="n"/>
      <c r="H14" s="188"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7">
        <f>COUNTA(A16:A20)-COUNTIF(M16:M20,"N/A")</f>
        <v/>
      </c>
      <c r="L15" s="197">
        <f>COUNTIF(M16:M20,"Met")</f>
        <v/>
      </c>
      <c r="M15" s="197">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2" t="inlineStr">
        <is>
          <t>TS0-02.1</t>
        </is>
      </c>
      <c r="B16" s="193" t="inlineStr">
        <is>
          <t>↳ sub-item</t>
        </is>
      </c>
      <c r="C16" s="192" t="inlineStr">
        <is>
          <t>Practitioner Role — PHeReF Practitioner Role VS (required binding)</t>
        </is>
      </c>
      <c r="D16" s="194" t="inlineStr">
        <is>
          <t>(part of TS0-02)</t>
        </is>
      </c>
      <c r="E16" s="195" t="n"/>
      <c r="F16" s="195" t="n"/>
      <c r="G16" s="195" t="n"/>
      <c r="H16" s="188" t="inlineStr">
        <is>
          <t>Yes</t>
        </is>
      </c>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42.5" customHeight="1" s="125">
      <c r="A17" s="192" t="inlineStr">
        <is>
          <t>TS0-02.2</t>
        </is>
      </c>
      <c r="B17" s="193" t="inlineStr">
        <is>
          <t>↳ sub-item</t>
        </is>
      </c>
      <c r="C17" s="192" t="inlineStr">
        <is>
          <t>Referral Category — PHeReF Referral Category VS, SNOMED CT Emergency / Outpatient (required binding)</t>
        </is>
      </c>
      <c r="D17" s="194" t="inlineStr">
        <is>
          <t>(part of TS0-02)</t>
        </is>
      </c>
      <c r="E17" s="195" t="n"/>
      <c r="F17" s="195" t="n"/>
      <c r="G17" s="195" t="n"/>
      <c r="H17" s="188" t="inlineStr">
        <is>
          <t>Yes</t>
        </is>
      </c>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29" customHeight="1" s="125">
      <c r="A18" s="192" t="inlineStr">
        <is>
          <t>TS0-02.3</t>
        </is>
      </c>
      <c r="B18" s="193" t="inlineStr">
        <is>
          <t>↳ sub-item</t>
        </is>
      </c>
      <c r="C18" s="192" t="inlineStr">
        <is>
          <t>Priority — EReferralPriority: routine / urgent / stat (required binding)</t>
        </is>
      </c>
      <c r="D18" s="194" t="inlineStr">
        <is>
          <t>(part of TS0-02)</t>
        </is>
      </c>
      <c r="E18" s="195" t="n"/>
      <c r="F18" s="195" t="n"/>
      <c r="G18" s="195" t="n"/>
      <c r="H18" s="188"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TS0-02.4</t>
        </is>
      </c>
      <c r="B19" s="193" t="inlineStr">
        <is>
          <t>↳ sub-item</t>
        </is>
      </c>
      <c r="C19" s="192" t="inlineStr">
        <is>
          <t>Reason for Referral (service type) — PHeReF Reason for Referral VS, SNOMED CT</t>
        </is>
      </c>
      <c r="D19" s="194" t="inlineStr">
        <is>
          <t>(part of TS0-02)</t>
        </is>
      </c>
      <c r="E19" s="195" t="n"/>
      <c r="F19" s="195" t="n"/>
      <c r="G19" s="195" t="n"/>
      <c r="H19" s="188" t="inlineStr">
        <is>
          <t>Yes</t>
        </is>
      </c>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42.5" customHeight="1" s="125">
      <c r="A20" s="192" t="inlineStr">
        <is>
          <t>TS0-02.5</t>
        </is>
      </c>
      <c r="B20" s="193" t="inlineStr">
        <is>
          <t>↳ sub-item</t>
        </is>
      </c>
      <c r="C20" s="192" t="inlineStr">
        <is>
          <t>Task status — FHIR TaskStatus (requested / received / accepted / rejected / completed)</t>
        </is>
      </c>
      <c r="D20" s="194" t="inlineStr">
        <is>
          <t>(part of TS0-02)</t>
        </is>
      </c>
      <c r="E20" s="195" t="n"/>
      <c r="F20" s="195" t="n"/>
      <c r="G20" s="195" t="n"/>
      <c r="H20" s="188" t="inlineStr">
        <is>
          <t>Yes</t>
        </is>
      </c>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7" t="n"/>
      <c r="L21" s="197" t="n"/>
      <c r="M21" s="197"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7">
        <f>COUNTA(A23:A25)-COUNTIF(M23:M25,"N/A")</f>
        <v/>
      </c>
      <c r="L22" s="197">
        <f>COUNTIF(M23:M25,"Met")</f>
        <v/>
      </c>
      <c r="M22" s="197">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2" t="inlineStr">
        <is>
          <t>TS0-04.1</t>
        </is>
      </c>
      <c r="B23" s="193" t="inlineStr">
        <is>
          <t>↳ sub-item</t>
        </is>
      </c>
      <c r="C23" s="192" t="inlineStr">
        <is>
          <t>Practitioner Role — official display text</t>
        </is>
      </c>
      <c r="D23" s="194" t="inlineStr">
        <is>
          <t>(part of TS0-04)</t>
        </is>
      </c>
      <c r="E23" s="195" t="n"/>
      <c r="F23" s="195" t="n"/>
      <c r="G23" s="195" t="n"/>
      <c r="H23" s="188" t="n"/>
      <c r="I23" s="195" t="n"/>
      <c r="J23" s="195" t="n"/>
      <c r="K23" s="195" t="n"/>
      <c r="L23" s="195" t="n"/>
      <c r="M23" s="196" t="inlineStr">
        <is>
          <t>Not Tested</t>
        </is>
      </c>
      <c r="N23" s="195" t="n"/>
      <c r="O23" s="192">
        <f>IF(M23="Not Met","Needs compliance",IF(M23="Not Tested","Not yet tested",""))</f>
        <v/>
      </c>
      <c r="P23" s="166" t="n"/>
      <c r="T23" s="124" t="inlineStr">
        <is>
          <t>Sub</t>
        </is>
      </c>
      <c r="U23" s="124">
        <f>IF(M23="Not Met","("&amp;1&amp;") "&amp;IF(H23="Yes","★ ","")&amp;C23,"")</f>
        <v/>
      </c>
    </row>
    <row r="24" ht="29" customHeight="1" s="125">
      <c r="A24" s="192" t="inlineStr">
        <is>
          <t>TS0-04.2</t>
        </is>
      </c>
      <c r="B24" s="193" t="inlineStr">
        <is>
          <t>↳ sub-item</t>
        </is>
      </c>
      <c r="C24" s="192" t="inlineStr">
        <is>
          <t>Referral Category — official display text</t>
        </is>
      </c>
      <c r="D24" s="194" t="inlineStr">
        <is>
          <t>(part of TS0-04)</t>
        </is>
      </c>
      <c r="E24" s="195" t="n"/>
      <c r="F24" s="195" t="n"/>
      <c r="G24" s="195" t="n"/>
      <c r="H24" s="188" t="n"/>
      <c r="I24" s="195" t="n"/>
      <c r="J24" s="195" t="n"/>
      <c r="K24" s="195" t="n"/>
      <c r="L24" s="195" t="n"/>
      <c r="M24" s="196" t="inlineStr">
        <is>
          <t>Not Tested</t>
        </is>
      </c>
      <c r="N24" s="195" t="n"/>
      <c r="O24" s="192">
        <f>IF(M24="Not Met","Needs compliance",IF(M24="Not Tested","Not yet tested",""))</f>
        <v/>
      </c>
      <c r="P24" s="166" t="n"/>
      <c r="T24" s="124" t="inlineStr">
        <is>
          <t>Sub</t>
        </is>
      </c>
      <c r="U24" s="124">
        <f>IF(M24="Not Met","("&amp;2&amp;") "&amp;IF(H24="Yes","★ ","")&amp;C24,"")</f>
        <v/>
      </c>
    </row>
    <row r="25" ht="29" customHeight="1" s="125">
      <c r="A25" s="192" t="inlineStr">
        <is>
          <t>TS0-04.3</t>
        </is>
      </c>
      <c r="B25" s="193" t="inlineStr">
        <is>
          <t>↳ sub-item</t>
        </is>
      </c>
      <c r="C25" s="192" t="inlineStr">
        <is>
          <t>Reason for Referral — official display text</t>
        </is>
      </c>
      <c r="D25" s="194" t="inlineStr">
        <is>
          <t>(part of TS0-04)</t>
        </is>
      </c>
      <c r="E25" s="195" t="n"/>
      <c r="F25" s="195" t="n"/>
      <c r="G25" s="195" t="n"/>
      <c r="H25" s="188" t="n"/>
      <c r="I25" s="195" t="n"/>
      <c r="J25" s="195" t="n"/>
      <c r="K25" s="195" t="n"/>
      <c r="L25" s="195" t="n"/>
      <c r="M25" s="196" t="inlineStr">
        <is>
          <t>Not Tested</t>
        </is>
      </c>
      <c r="N25" s="195" t="n"/>
      <c r="O25" s="192">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7">
        <f>COUNTA(A27:A29)-COUNTIF(M27:M29,"N/A")</f>
        <v/>
      </c>
      <c r="L26" s="197">
        <f>COUNTIF(M27:M29,"Met")</f>
        <v/>
      </c>
      <c r="M26" s="197">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2" t="inlineStr">
        <is>
          <t>TS0-05.1</t>
        </is>
      </c>
      <c r="B27" s="193" t="inlineStr">
        <is>
          <t>↳ sub-item</t>
        </is>
      </c>
      <c r="C27" s="192" t="inlineStr">
        <is>
          <t>SNOMED CT — codes valid; system = http://snomed.info/sct</t>
        </is>
      </c>
      <c r="D27" s="194" t="inlineStr">
        <is>
          <t>(part of TS0-05)</t>
        </is>
      </c>
      <c r="E27" s="195" t="n"/>
      <c r="F27" s="195" t="n"/>
      <c r="G27" s="195" t="n"/>
      <c r="H27" s="188"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29" customHeight="1" s="125">
      <c r="A28" s="192" t="inlineStr">
        <is>
          <t>TS0-05.2</t>
        </is>
      </c>
      <c r="B28" s="193" t="inlineStr">
        <is>
          <t>↳ sub-item</t>
        </is>
      </c>
      <c r="C28" s="192" t="inlineStr">
        <is>
          <t>LOINC — vital-sign codes valid; system = http://loinc.org</t>
        </is>
      </c>
      <c r="D28" s="194" t="inlineStr">
        <is>
          <t>(part of TS0-05)</t>
        </is>
      </c>
      <c r="E28" s="195" t="n"/>
      <c r="F28" s="195" t="n"/>
      <c r="G28" s="195" t="n"/>
      <c r="H28" s="188"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42.5" customHeight="1" s="125">
      <c r="A29" s="192" t="inlineStr">
        <is>
          <t>TS0-05.3</t>
        </is>
      </c>
      <c r="B29" s="193" t="inlineStr">
        <is>
          <t>↳ sub-item</t>
        </is>
      </c>
      <c r="C29" s="192" t="inlineStr">
        <is>
          <t>ICD-10 — working-impression codes valid; system = http://hl7.org/fhir/sid/icd-10 (N/A if not bound)</t>
        </is>
      </c>
      <c r="D29" s="194" t="inlineStr">
        <is>
          <t>(part of TS0-05)</t>
        </is>
      </c>
      <c r="E29" s="195" t="n"/>
      <c r="F29" s="195" t="n"/>
      <c r="G29" s="195" t="n"/>
      <c r="H29" s="188"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7">
        <f>COUNTA(A31:A33)-COUNTIF(M31:M33,"N/A")</f>
        <v/>
      </c>
      <c r="L30" s="197">
        <f>COUNTIF(M31:M33,"Met")</f>
        <v/>
      </c>
      <c r="M30" s="197">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2" t="inlineStr">
        <is>
          <t>TS0-06.1</t>
        </is>
      </c>
      <c r="B31" s="193" t="inlineStr">
        <is>
          <t>↳ sub-item</t>
        </is>
      </c>
      <c r="C31" s="192" t="inlineStr">
        <is>
          <t>PSGC code — Philippine Standard Geographic Code (PSA)</t>
        </is>
      </c>
      <c r="D31" s="194" t="inlineStr">
        <is>
          <t>(part of TS0-06)</t>
        </is>
      </c>
      <c r="E31" s="195" t="n"/>
      <c r="F31" s="195" t="n"/>
      <c r="G31" s="195" t="n"/>
      <c r="H31" s="188" t="inlineStr">
        <is>
          <t>Yes</t>
        </is>
      </c>
      <c r="I31" s="195" t="n"/>
      <c r="J31" s="195" t="n"/>
      <c r="K31" s="195" t="n"/>
      <c r="L31" s="195" t="n"/>
      <c r="M31" s="196" t="inlineStr">
        <is>
          <t>Not Tested</t>
        </is>
      </c>
      <c r="N31" s="195" t="n"/>
      <c r="O31" s="192">
        <f>IF(M31="Not Met","Needs compliance",IF(M31="Not Tested","Not yet tested",""))</f>
        <v/>
      </c>
      <c r="P31" s="166" t="n"/>
      <c r="T31" s="124" t="inlineStr">
        <is>
          <t>Sub</t>
        </is>
      </c>
      <c r="U31" s="124">
        <f>IF(M31="Not Met","("&amp;1&amp;") "&amp;IF(H31="Yes","★ ","")&amp;C31,"")</f>
        <v/>
      </c>
    </row>
    <row r="32" ht="56" customHeight="1" s="125">
      <c r="A32" s="192" t="inlineStr">
        <is>
          <t>TS0-06.2</t>
        </is>
      </c>
      <c r="B32" s="193" t="inlineStr">
        <is>
          <t>↳ sub-item</t>
        </is>
      </c>
      <c r="C32" s="192" t="inlineStr">
        <is>
          <t>NHFR code — National Health Facility Registry; facilities selected only from the NHFR, not free-typed (absorbs Rev 6 L4-09)</t>
        </is>
      </c>
      <c r="D32" s="194" t="inlineStr">
        <is>
          <t>(part of TS0-06)</t>
        </is>
      </c>
      <c r="E32" s="195" t="n"/>
      <c r="F32" s="195" t="n"/>
      <c r="G32" s="195" t="n"/>
      <c r="H32" s="188" t="inlineStr">
        <is>
          <t>Yes</t>
        </is>
      </c>
      <c r="I32" s="195" t="n"/>
      <c r="J32" s="195" t="n"/>
      <c r="K32" s="195" t="n"/>
      <c r="L32" s="195" t="n"/>
      <c r="M32" s="196" t="inlineStr">
        <is>
          <t>Not Tested</t>
        </is>
      </c>
      <c r="N32" s="195" t="n"/>
      <c r="O32" s="192">
        <f>IF(M32="Not Met","Needs compliance",IF(M32="Not Tested","Not yet tested",""))</f>
        <v/>
      </c>
      <c r="P32" s="166" t="n"/>
      <c r="T32" s="124" t="inlineStr">
        <is>
          <t>Sub</t>
        </is>
      </c>
      <c r="U32" s="124">
        <f>IF(M32="Not Met","("&amp;2&amp;") "&amp;IF(H32="Yes","★ ","")&amp;C32,"")</f>
        <v/>
      </c>
    </row>
    <row r="33" ht="42.5" customHeight="1" s="125">
      <c r="A33" s="192" t="inlineStr">
        <is>
          <t>TS0-06.3</t>
        </is>
      </c>
      <c r="B33" s="193" t="inlineStr">
        <is>
          <t>↳ sub-item</t>
        </is>
      </c>
      <c r="C33" s="192" t="inlineStr">
        <is>
          <t>NHWR — health worker identifier / licence no. (National Health Workforce Registry)</t>
        </is>
      </c>
      <c r="D33" s="194" t="inlineStr">
        <is>
          <t>(part of TS0-06)</t>
        </is>
      </c>
      <c r="E33" s="195" t="n"/>
      <c r="F33" s="195" t="n"/>
      <c r="G33" s="195" t="n"/>
      <c r="H33" s="188" t="n"/>
      <c r="I33" s="195" t="n"/>
      <c r="J33" s="195" t="n"/>
      <c r="K33" s="195" t="n"/>
      <c r="L33" s="195" t="n"/>
      <c r="M33" s="196" t="inlineStr">
        <is>
          <t>Not Tested</t>
        </is>
      </c>
      <c r="N33" s="195" t="n"/>
      <c r="O33" s="192">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7">
        <f>COUNTA(A35:A36)-COUNTIF(M35:M36,"N/A")</f>
        <v/>
      </c>
      <c r="L34" s="197">
        <f>COUNTIF(M35:M36,"Met")</f>
        <v/>
      </c>
      <c r="M34" s="197">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2" t="inlineStr">
        <is>
          <t>TS0-07.1</t>
        </is>
      </c>
      <c r="B35" s="193" t="inlineStr">
        <is>
          <t>↳ sub-item</t>
        </is>
      </c>
      <c r="C35" s="192" t="inlineStr">
        <is>
          <t>PhilHealth ID (PhilHealth) — official identifier system, format validated, malformed value rejected</t>
        </is>
      </c>
      <c r="D35" s="194" t="inlineStr">
        <is>
          <t>(part of TS0-07)</t>
        </is>
      </c>
      <c r="E35" s="195" t="n"/>
      <c r="F35" s="195" t="n"/>
      <c r="G35" s="195" t="n"/>
      <c r="H35" s="188"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Met","("&amp;1&amp;") "&amp;IF(H35="Yes","★ ","")&amp;C35,"")</f>
        <v/>
      </c>
    </row>
    <row r="36" ht="42.5" customHeight="1" s="125">
      <c r="A36" s="192" t="inlineStr">
        <is>
          <t>TS0-07.2</t>
        </is>
      </c>
      <c r="B36" s="193" t="inlineStr">
        <is>
          <t>↳ sub-item</t>
        </is>
      </c>
      <c r="C36" s="192" t="inlineStr">
        <is>
          <t>PhilSys number (PSA) — official identifier system, format validated, malformed value rejected</t>
        </is>
      </c>
      <c r="D36" s="194" t="inlineStr">
        <is>
          <t>(part of TS0-07)</t>
        </is>
      </c>
      <c r="E36" s="195" t="n"/>
      <c r="F36" s="195" t="n"/>
      <c r="G36" s="195" t="n"/>
      <c r="H36" s="188" t="inlineStr">
        <is>
          <t>Yes</t>
        </is>
      </c>
      <c r="I36" s="195" t="n"/>
      <c r="J36" s="195" t="n"/>
      <c r="K36" s="195" t="n"/>
      <c r="L36" s="195" t="n"/>
      <c r="M36" s="196" t="inlineStr">
        <is>
          <t>Not Tested</t>
        </is>
      </c>
      <c r="N36" s="195" t="n"/>
      <c r="O36" s="192">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7" t="n"/>
      <c r="L37" s="197" t="n"/>
      <c r="M37" s="197"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7">
        <f>COUNTA(A11:A15)-COUNTIF(M11:M15,"N/A")</f>
        <v/>
      </c>
      <c r="L10" s="197">
        <f>COUNTIF(M11:M15,"Met")</f>
        <v/>
      </c>
      <c r="M10" s="197">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2" t="inlineStr">
        <is>
          <t>TS1-01.1</t>
        </is>
      </c>
      <c r="B11" s="193" t="inlineStr">
        <is>
          <t>↳ sub-item</t>
        </is>
      </c>
      <c r="C11" s="192" t="inlineStr">
        <is>
          <t>HCPN name — Organization.identifier (HCPN)</t>
        </is>
      </c>
      <c r="D11" s="194" t="inlineStr">
        <is>
          <t>(part of TS1-01)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15.5" customHeight="1" s="125">
      <c r="A12" s="192" t="inlineStr">
        <is>
          <t>TS1-01.2</t>
        </is>
      </c>
      <c r="B12" s="193" t="inlineStr">
        <is>
          <t>↳ sub-item</t>
        </is>
      </c>
      <c r="C12" s="192" t="inlineStr">
        <is>
          <t>Facility name — Organization.name</t>
        </is>
      </c>
      <c r="D12" s="194" t="inlineStr">
        <is>
          <t>(part of TS1-01)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TS1-01.3</t>
        </is>
      </c>
      <c r="B13" s="193" t="inlineStr">
        <is>
          <t>↳ sub-item</t>
        </is>
      </c>
      <c r="C13" s="192" t="inlineStr">
        <is>
          <t>NHFR code — Organization.identifier (NHFR)</t>
        </is>
      </c>
      <c r="D13" s="194" t="inlineStr">
        <is>
          <t>(part of TS1-01)</t>
        </is>
      </c>
      <c r="E13" s="195" t="n"/>
      <c r="F13" s="195" t="n"/>
      <c r="G13" s="195" t="n"/>
      <c r="H13" s="195"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29" customHeight="1" s="125">
      <c r="A14" s="192" t="inlineStr">
        <is>
          <t>TS1-01.4</t>
        </is>
      </c>
      <c r="B14" s="193" t="inlineStr">
        <is>
          <t>↳ sub-item</t>
        </is>
      </c>
      <c r="C14" s="192" t="inlineStr">
        <is>
          <t>Address, PSGC-coded — Organization.address</t>
        </is>
      </c>
      <c r="D14" s="194" t="inlineStr">
        <is>
          <t>(part of TS1-01)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15.5" customHeight="1" s="125">
      <c r="A15" s="192" t="inlineStr">
        <is>
          <t>TS1-01.5</t>
        </is>
      </c>
      <c r="B15" s="193" t="inlineStr">
        <is>
          <t>↳ sub-item</t>
        </is>
      </c>
      <c r="C15" s="192" t="inlineStr">
        <is>
          <t>Contact number — Organization.telecom</t>
        </is>
      </c>
      <c r="D15" s="194" t="inlineStr">
        <is>
          <t>(part of TS1-01)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7">
        <f>COUNTA(A17:A19)-COUNTIF(M17:M19,"N/A")</f>
        <v/>
      </c>
      <c r="L16" s="197">
        <f>COUNTIF(M17:M19,"Met")</f>
        <v/>
      </c>
      <c r="M16" s="197">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2" t="inlineStr">
        <is>
          <t>TS1-02.1</t>
        </is>
      </c>
      <c r="B17" s="193" t="inlineStr">
        <is>
          <t>↳ sub-item</t>
        </is>
      </c>
      <c r="C17" s="192" t="inlineStr">
        <is>
          <t>Facility name — Organization.name</t>
        </is>
      </c>
      <c r="D17" s="194" t="inlineStr">
        <is>
          <t>(part of TS1-02)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Met","("&amp;1&amp;") "&amp;IF(H17="Yes","★ ","")&amp;C17,"")</f>
        <v/>
      </c>
    </row>
    <row r="18" ht="29" customHeight="1" s="125">
      <c r="A18" s="192" t="inlineStr">
        <is>
          <t>TS1-02.2</t>
        </is>
      </c>
      <c r="B18" s="193" t="inlineStr">
        <is>
          <t>↳ sub-item</t>
        </is>
      </c>
      <c r="C18" s="192" t="inlineStr">
        <is>
          <t>NHFR code — Organization.identifier (NHFR)</t>
        </is>
      </c>
      <c r="D18" s="194" t="inlineStr">
        <is>
          <t>(part of TS1-02)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Met","("&amp;2&amp;") "&amp;IF(H18="Yes","★ ","")&amp;C18,"")</f>
        <v/>
      </c>
    </row>
    <row r="19" ht="29" customHeight="1" s="125">
      <c r="A19" s="192" t="inlineStr">
        <is>
          <t>TS1-02.3</t>
        </is>
      </c>
      <c r="B19" s="193" t="inlineStr">
        <is>
          <t>↳ sub-item</t>
        </is>
      </c>
      <c r="C19" s="192" t="inlineStr">
        <is>
          <t>Address, PSGC-coded — Organization.address</t>
        </is>
      </c>
      <c r="D19" s="194" t="inlineStr">
        <is>
          <t>(part of TS1-02)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7">
        <f>COUNTA(A21:A24)-COUNTIF(M21:M24,"N/A")</f>
        <v/>
      </c>
      <c r="L20" s="197">
        <f>COUNTIF(M21:M24,"Met")</f>
        <v/>
      </c>
      <c r="M20" s="197">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2" t="inlineStr">
        <is>
          <t>TS1-03.1</t>
        </is>
      </c>
      <c r="B21" s="193" t="inlineStr">
        <is>
          <t>↳ sub-item</t>
        </is>
      </c>
      <c r="C21" s="192" t="inlineStr">
        <is>
          <t>Name of referring practitioner — Practitioner.name</t>
        </is>
      </c>
      <c r="D21" s="194" t="inlineStr">
        <is>
          <t>(part of TS1-03)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Met","("&amp;1&amp;") "&amp;IF(H21="Yes","★ ","")&amp;C21,"")</f>
        <v/>
      </c>
    </row>
    <row r="22" ht="29" customHeight="1" s="125">
      <c r="A22" s="192" t="inlineStr">
        <is>
          <t>TS1-03.2</t>
        </is>
      </c>
      <c r="B22" s="193" t="inlineStr">
        <is>
          <t>↳ sub-item</t>
        </is>
      </c>
      <c r="C22" s="192" t="inlineStr">
        <is>
          <t>Practitioner role — PractitionerRole.code</t>
        </is>
      </c>
      <c r="D22" s="194" t="inlineStr">
        <is>
          <t>(part of TS1-03)</t>
        </is>
      </c>
      <c r="E22" s="195" t="n"/>
      <c r="F22" s="195" t="n"/>
      <c r="G22" s="195" t="n"/>
      <c r="H22" s="195" t="inlineStr">
        <is>
          <t>Yes</t>
        </is>
      </c>
      <c r="I22" s="195" t="n"/>
      <c r="J22" s="195" t="n"/>
      <c r="K22" s="195" t="n"/>
      <c r="L22" s="195" t="n"/>
      <c r="M22" s="196" t="inlineStr">
        <is>
          <t>Not Tested</t>
        </is>
      </c>
      <c r="N22" s="195" t="n"/>
      <c r="O22" s="192">
        <f>IF(M22="Not Met","Needs compliance",IF(M22="Not Tested","Not yet tested",""))</f>
        <v/>
      </c>
      <c r="P22" s="166" t="n"/>
      <c r="T22" s="124" t="inlineStr">
        <is>
          <t>Sub</t>
        </is>
      </c>
      <c r="U22" s="124">
        <f>IF(M22="Not Met","("&amp;2&amp;") "&amp;IF(H22="Yes","★ ","")&amp;C22,"")</f>
        <v/>
      </c>
    </row>
    <row r="23" ht="56" customHeight="1" s="125">
      <c r="A23" s="192" t="inlineStr">
        <is>
          <t>TS1-03.3</t>
        </is>
      </c>
      <c r="B23" s="193" t="inlineStr">
        <is>
          <t>↳ sub-item</t>
        </is>
      </c>
      <c r="C23" s="192" t="inlineStr">
        <is>
          <t>Care navigator at the referring facility, if assigned — separate PractitionerRole (N/A if the facility does not assign one)</t>
        </is>
      </c>
      <c r="D23" s="194" t="inlineStr">
        <is>
          <t>(part of TS1-03)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Met","("&amp;3&amp;") "&amp;IF(H23="Yes","★ ","")&amp;C23,"")</f>
        <v/>
      </c>
    </row>
    <row r="24" ht="42.5" customHeight="1" s="125">
      <c r="A24" s="192" t="inlineStr">
        <is>
          <t>TS1-03.4</t>
        </is>
      </c>
      <c r="B24" s="193" t="inlineStr">
        <is>
          <t>↳ sub-item</t>
        </is>
      </c>
      <c r="C24" s="192" t="inlineStr">
        <is>
          <t>Referring practitioner is the requester of the ServiceRequest and the Task (not the receiving practitioner)</t>
        </is>
      </c>
      <c r="D24" s="194" t="inlineStr">
        <is>
          <t>(part of TS1-03)</t>
        </is>
      </c>
      <c r="E24" s="195" t="n"/>
      <c r="F24" s="195" t="n"/>
      <c r="G24" s="195" t="n"/>
      <c r="H24" s="195" t="inlineStr">
        <is>
          <t>Yes</t>
        </is>
      </c>
      <c r="I24" s="195" t="n"/>
      <c r="J24" s="195" t="n"/>
      <c r="K24" s="195" t="n"/>
      <c r="L24" s="195" t="n"/>
      <c r="M24" s="196" t="inlineStr">
        <is>
          <t>Not Tested</t>
        </is>
      </c>
      <c r="N24" s="195" t="n"/>
      <c r="O24" s="192">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7">
        <f>COUNTA(A26:A34)-COUNTIF(M26:M34,"N/A")</f>
        <v/>
      </c>
      <c r="L25" s="197">
        <f>COUNTIF(M26:M34,"Met")</f>
        <v/>
      </c>
      <c r="M25" s="197">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2" t="inlineStr">
        <is>
          <t>TS1-04.1</t>
        </is>
      </c>
      <c r="B26" s="193" t="inlineStr">
        <is>
          <t>↳ sub-item</t>
        </is>
      </c>
      <c r="C26" s="192" t="inlineStr">
        <is>
          <t>Full name — Patient.name</t>
        </is>
      </c>
      <c r="D26" s="194" t="inlineStr">
        <is>
          <t>(part of TS1-04)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29" customHeight="1" s="125">
      <c r="A27" s="192" t="inlineStr">
        <is>
          <t>TS1-04.2</t>
        </is>
      </c>
      <c r="B27" s="193" t="inlineStr">
        <is>
          <t>↳ sub-item</t>
        </is>
      </c>
      <c r="C27" s="192" t="inlineStr">
        <is>
          <t>PhilSys number — Patient.identifier (PH Core PhilSys system)</t>
        </is>
      </c>
      <c r="D27" s="194" t="inlineStr">
        <is>
          <t>(part of TS1-04)</t>
        </is>
      </c>
      <c r="E27" s="195" t="n"/>
      <c r="F27" s="195" t="n"/>
      <c r="G27" s="195" t="n"/>
      <c r="H27" s="195" t="inlineStr">
        <is>
          <t>Yes</t>
        </is>
      </c>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29" customHeight="1" s="125">
      <c r="A28" s="192" t="inlineStr">
        <is>
          <t>TS1-04.3</t>
        </is>
      </c>
      <c r="B28" s="193" t="inlineStr">
        <is>
          <t>↳ sub-item</t>
        </is>
      </c>
      <c r="C28" s="192" t="inlineStr">
        <is>
          <t>PhilHealth ID — Patient.identifier (PH Core PhilHealth system)</t>
        </is>
      </c>
      <c r="D28" s="194" t="inlineStr">
        <is>
          <t>(part of TS1-04)</t>
        </is>
      </c>
      <c r="E28" s="195" t="n"/>
      <c r="F28" s="195" t="n"/>
      <c r="G28" s="195" t="n"/>
      <c r="H28" s="195" t="inlineStr">
        <is>
          <t>Yes</t>
        </is>
      </c>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15.5" customHeight="1" s="125">
      <c r="A29" s="192" t="inlineStr">
        <is>
          <t>TS1-04.4</t>
        </is>
      </c>
      <c r="B29" s="193" t="inlineStr">
        <is>
          <t>↳ sub-item</t>
        </is>
      </c>
      <c r="C29" s="192" t="inlineStr">
        <is>
          <t>Birth date — Patient.birthDate</t>
        </is>
      </c>
      <c r="D29" s="194" t="inlineStr">
        <is>
          <t>(part of TS1-04)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Met","("&amp;4&amp;") "&amp;IF(H29="Yes","★ ","")&amp;C29,"")</f>
        <v/>
      </c>
    </row>
    <row r="30" ht="15.5" customHeight="1" s="125">
      <c r="A30" s="192" t="inlineStr">
        <is>
          <t>TS1-04.5</t>
        </is>
      </c>
      <c r="B30" s="193" t="inlineStr">
        <is>
          <t>↳ sub-item</t>
        </is>
      </c>
      <c r="C30" s="192" t="inlineStr">
        <is>
          <t>Sex — Patient.gender</t>
        </is>
      </c>
      <c r="D30" s="194" t="inlineStr">
        <is>
          <t>(part of TS1-04)</t>
        </is>
      </c>
      <c r="E30" s="195" t="n"/>
      <c r="F30" s="195" t="n"/>
      <c r="G30" s="195" t="n"/>
      <c r="H30" s="195" t="inlineStr">
        <is>
          <t>Yes</t>
        </is>
      </c>
      <c r="I30" s="195" t="n"/>
      <c r="J30" s="195" t="n"/>
      <c r="K30" s="195" t="n"/>
      <c r="L30" s="195" t="n"/>
      <c r="M30" s="196" t="inlineStr">
        <is>
          <t>Not Tested</t>
        </is>
      </c>
      <c r="N30" s="195" t="n"/>
      <c r="O30" s="192">
        <f>IF(M30="Not Met","Needs compliance",IF(M30="Not Tested","Not yet tested",""))</f>
        <v/>
      </c>
      <c r="P30" s="166" t="n"/>
      <c r="T30" s="124" t="inlineStr">
        <is>
          <t>Sub</t>
        </is>
      </c>
      <c r="U30" s="124">
        <f>IF(M30="Not Met","("&amp;5&amp;") "&amp;IF(H30="Yes","★ ","")&amp;C30,"")</f>
        <v/>
      </c>
    </row>
    <row r="31" ht="15.5" customHeight="1" s="125">
      <c r="A31" s="192" t="inlineStr">
        <is>
          <t>TS1-04.6</t>
        </is>
      </c>
      <c r="B31" s="193" t="inlineStr">
        <is>
          <t>↳ sub-item</t>
        </is>
      </c>
      <c r="C31" s="192" t="inlineStr">
        <is>
          <t>Civil status — Patient.maritalStatus</t>
        </is>
      </c>
      <c r="D31" s="194" t="inlineStr">
        <is>
          <t>(part of TS1-04)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Met","("&amp;6&amp;") "&amp;IF(H31="Yes","★ ","")&amp;C31,"")</f>
        <v/>
      </c>
    </row>
    <row r="32" ht="15.5" customHeight="1" s="125">
      <c r="A32" s="192" t="inlineStr">
        <is>
          <t>TS1-04.7</t>
        </is>
      </c>
      <c r="B32" s="193" t="inlineStr">
        <is>
          <t>↳ sub-item</t>
        </is>
      </c>
      <c r="C32" s="192" t="inlineStr">
        <is>
          <t>Address, PSGC-coded — Patient.address</t>
        </is>
      </c>
      <c r="D32" s="194" t="inlineStr">
        <is>
          <t>(part of TS1-04)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Met","("&amp;7&amp;") "&amp;IF(H32="Yes","★ ","")&amp;C32,"")</f>
        <v/>
      </c>
    </row>
    <row r="33" ht="15.5" customHeight="1" s="125">
      <c r="A33" s="192" t="inlineStr">
        <is>
          <t>TS1-04.8</t>
        </is>
      </c>
      <c r="B33" s="193" t="inlineStr">
        <is>
          <t>↳ sub-item</t>
        </is>
      </c>
      <c r="C33" s="192" t="inlineStr">
        <is>
          <t>Contact number — Patient.telecom</t>
        </is>
      </c>
      <c r="D33" s="194" t="inlineStr">
        <is>
          <t>(part of TS1-04)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Met","("&amp;8&amp;") "&amp;IF(H33="Yes","★ ","")&amp;C33,"")</f>
        <v/>
      </c>
    </row>
    <row r="34" ht="42.5" customHeight="1" s="125">
      <c r="A34" s="192" t="inlineStr">
        <is>
          <t>TS1-04.9</t>
        </is>
      </c>
      <c r="B34" s="193" t="inlineStr">
        <is>
          <t>↳ sub-item</t>
        </is>
      </c>
      <c r="C34" s="192" t="inlineStr">
        <is>
          <t>PWD registration — PWD Disability Registration extension (N/A if the test patient has none)</t>
        </is>
      </c>
      <c r="D34" s="194" t="inlineStr">
        <is>
          <t>(part of TS1-04)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7" t="n"/>
      <c r="L35" s="197" t="n"/>
      <c r="M35" s="197"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7">
        <f>COUNTA(A37:A42)-COUNTIF(M37:M42,"N/A")</f>
        <v/>
      </c>
      <c r="L36" s="197">
        <f>COUNTIF(M37:M42,"Met")</f>
        <v/>
      </c>
      <c r="M36" s="197">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2" t="inlineStr">
        <is>
          <t>TS1-06.1</t>
        </is>
      </c>
      <c r="B37" s="193" t="inlineStr">
        <is>
          <t>↳ sub-item</t>
        </is>
      </c>
      <c r="C37" s="192" t="inlineStr">
        <is>
          <t>Date of referral — ServiceRequest.authoredOn</t>
        </is>
      </c>
      <c r="D37" s="194" t="inlineStr">
        <is>
          <t>(part of TS1-06)</t>
        </is>
      </c>
      <c r="E37" s="195" t="n"/>
      <c r="F37" s="195" t="n"/>
      <c r="G37" s="195" t="n"/>
      <c r="H37" s="195" t="n"/>
      <c r="I37" s="195" t="n"/>
      <c r="J37" s="195" t="n"/>
      <c r="K37" s="195" t="n"/>
      <c r="L37" s="195" t="n"/>
      <c r="M37" s="196" t="inlineStr">
        <is>
          <t>Not Tested</t>
        </is>
      </c>
      <c r="N37" s="195" t="n"/>
      <c r="O37" s="192">
        <f>IF(M37="Not Met","Needs compliance",IF(M37="Not Tested","Not yet tested",""))</f>
        <v/>
      </c>
      <c r="P37" s="166" t="n"/>
      <c r="T37" s="124" t="inlineStr">
        <is>
          <t>Sub</t>
        </is>
      </c>
      <c r="U37" s="124">
        <f>IF(M37="Not Met","("&amp;1&amp;") "&amp;IF(H37="Yes","★ ","")&amp;C37,"")</f>
        <v/>
      </c>
    </row>
    <row r="38" ht="29" customHeight="1" s="125">
      <c r="A38" s="192" t="inlineStr">
        <is>
          <t>TS1-06.2</t>
        </is>
      </c>
      <c r="B38" s="193" t="inlineStr">
        <is>
          <t>↳ sub-item</t>
        </is>
      </c>
      <c r="C38" s="192" t="inlineStr">
        <is>
          <t>Referral category — ServiceRequest.category (Emergency / Outpatient)</t>
        </is>
      </c>
      <c r="D38" s="194" t="inlineStr">
        <is>
          <t>(part of TS1-06)</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Met","("&amp;2&amp;") "&amp;IF(H38="Yes","★ ","")&amp;C38,"")</f>
        <v/>
      </c>
    </row>
    <row r="39" ht="29" customHeight="1" s="125">
      <c r="A39" s="192" t="inlineStr">
        <is>
          <t>TS1-06.3</t>
        </is>
      </c>
      <c r="B39" s="193" t="inlineStr">
        <is>
          <t>↳ sub-item</t>
        </is>
      </c>
      <c r="C39" s="192" t="inlineStr">
        <is>
          <t>Priority — ServiceRequest.priority (routine / urgent / stat)</t>
        </is>
      </c>
      <c r="D39" s="194" t="inlineStr">
        <is>
          <t>(part of TS1-06)</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Met","("&amp;3&amp;") "&amp;IF(H39="Yes","★ ","")&amp;C39,"")</f>
        <v/>
      </c>
    </row>
    <row r="40" ht="29" customHeight="1" s="125">
      <c r="A40" s="192" t="inlineStr">
        <is>
          <t>TS1-06.4</t>
        </is>
      </c>
      <c r="B40" s="193" t="inlineStr">
        <is>
          <t>↳ sub-item</t>
        </is>
      </c>
      <c r="C40" s="192" t="inlineStr">
        <is>
          <t>Reason for referral — ServiceRequest.reasonCode</t>
        </is>
      </c>
      <c r="D40" s="194" t="inlineStr">
        <is>
          <t>(part of TS1-06)</t>
        </is>
      </c>
      <c r="E40" s="195" t="n"/>
      <c r="F40" s="195" t="n"/>
      <c r="G40" s="195" t="n"/>
      <c r="H40" s="195" t="inlineStr">
        <is>
          <t>Yes</t>
        </is>
      </c>
      <c r="I40" s="195" t="n"/>
      <c r="J40" s="195" t="n"/>
      <c r="K40" s="195" t="n"/>
      <c r="L40" s="195" t="n"/>
      <c r="M40" s="196" t="inlineStr">
        <is>
          <t>Not Tested</t>
        </is>
      </c>
      <c r="N40" s="195" t="n"/>
      <c r="O40" s="192">
        <f>IF(M40="Not Met","Needs compliance",IF(M40="Not Tested","Not yet tested",""))</f>
        <v/>
      </c>
      <c r="P40" s="166" t="n"/>
      <c r="T40" s="124" t="inlineStr">
        <is>
          <t>Sub</t>
        </is>
      </c>
      <c r="U40" s="124">
        <f>IF(M40="Not Met","("&amp;4&amp;") "&amp;IF(H40="Yes","★ ","")&amp;C40,"")</f>
        <v/>
      </c>
    </row>
    <row r="41" ht="42.5" customHeight="1" s="125">
      <c r="A41" s="192" t="inlineStr">
        <is>
          <t>TS1-06.5</t>
        </is>
      </c>
      <c r="B41" s="193" t="inlineStr">
        <is>
          <t>↳ sub-item</t>
        </is>
      </c>
      <c r="C41" s="192" t="inlineStr">
        <is>
          <t>Links — subject → Patient, requester → referring PractitionerRole, performer → receiving facility</t>
        </is>
      </c>
      <c r="D41" s="194" t="inlineStr">
        <is>
          <t>(part of TS1-06)</t>
        </is>
      </c>
      <c r="E41" s="195" t="n"/>
      <c r="F41" s="195" t="n"/>
      <c r="G41" s="195" t="n"/>
      <c r="H41" s="195" t="inlineStr">
        <is>
          <t>Yes</t>
        </is>
      </c>
      <c r="I41" s="195" t="n"/>
      <c r="J41" s="195" t="n"/>
      <c r="K41" s="195" t="n"/>
      <c r="L41" s="195" t="n"/>
      <c r="M41" s="196" t="inlineStr">
        <is>
          <t>Not Tested</t>
        </is>
      </c>
      <c r="N41" s="195" t="n"/>
      <c r="O41" s="192">
        <f>IF(M41="Not Met","Needs compliance",IF(M41="Not Tested","Not yet tested",""))</f>
        <v/>
      </c>
      <c r="P41" s="166" t="n"/>
      <c r="T41" s="124" t="inlineStr">
        <is>
          <t>Sub</t>
        </is>
      </c>
      <c r="U41" s="124">
        <f>IF(M41="Not Met","("&amp;5&amp;") "&amp;IF(H41="Yes","★ ","")&amp;C41,"")</f>
        <v/>
      </c>
    </row>
    <row r="42" ht="29" customHeight="1" s="125">
      <c r="A42" s="192" t="inlineStr">
        <is>
          <t>TS1-06.6</t>
        </is>
      </c>
      <c r="B42" s="193" t="inlineStr">
        <is>
          <t>↳ sub-item</t>
        </is>
      </c>
      <c r="C42" s="192" t="inlineStr">
        <is>
          <t>Fixed values — intent = order; status per IG</t>
        </is>
      </c>
      <c r="D42" s="194" t="inlineStr">
        <is>
          <t>(part of TS1-06)</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7">
        <f>COUNTA(A44:A46)-COUNTIF(M44:M46,"N/A")</f>
        <v/>
      </c>
      <c r="L43" s="197">
        <f>COUNTIF(M44:M46,"Met")</f>
        <v/>
      </c>
      <c r="M43" s="197">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2" t="inlineStr">
        <is>
          <t>TS1-07.1</t>
        </is>
      </c>
      <c r="B44" s="193" t="inlineStr">
        <is>
          <t>↳ sub-item</t>
        </is>
      </c>
      <c r="C44" s="192" t="inlineStr">
        <is>
          <t>Chief complaint — Condition.code.text</t>
        </is>
      </c>
      <c r="D44" s="194" t="inlineStr">
        <is>
          <t>(part of TS1-07)</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Met","("&amp;1&amp;") "&amp;IF(H44="Yes","★ ","")&amp;C44,"")</f>
        <v/>
      </c>
    </row>
    <row r="45" ht="29" customHeight="1" s="125">
      <c r="A45" s="192" t="inlineStr">
        <is>
          <t>TS1-07.2</t>
        </is>
      </c>
      <c r="B45" s="193" t="inlineStr">
        <is>
          <t>↳ sub-item</t>
        </is>
      </c>
      <c r="C45" s="192" t="inlineStr">
        <is>
          <t>Working impression — Condition.code (coded)</t>
        </is>
      </c>
      <c r="D45" s="194" t="inlineStr">
        <is>
          <t>(part of TS1-07)</t>
        </is>
      </c>
      <c r="E45" s="195" t="n"/>
      <c r="F45" s="195" t="n"/>
      <c r="G45" s="195" t="n"/>
      <c r="H45" s="195" t="inlineStr">
        <is>
          <t>Yes</t>
        </is>
      </c>
      <c r="I45" s="195" t="n"/>
      <c r="J45" s="195" t="n"/>
      <c r="K45" s="195" t="n"/>
      <c r="L45" s="195" t="n"/>
      <c r="M45" s="196" t="inlineStr">
        <is>
          <t>Not Tested</t>
        </is>
      </c>
      <c r="N45" s="195" t="n"/>
      <c r="O45" s="192">
        <f>IF(M45="Not Met","Needs compliance",IF(M45="Not Tested","Not yet tested",""))</f>
        <v/>
      </c>
      <c r="P45" s="166" t="n"/>
      <c r="T45" s="124" t="inlineStr">
        <is>
          <t>Sub</t>
        </is>
      </c>
      <c r="U45" s="124">
        <f>IF(M45="Not Met","("&amp;2&amp;") "&amp;IF(H45="Yes","★ ","")&amp;C45,"")</f>
        <v/>
      </c>
    </row>
    <row r="46" ht="15.5" customHeight="1" s="125">
      <c r="A46" s="192" t="inlineStr">
        <is>
          <t>TS1-07.3</t>
        </is>
      </c>
      <c r="B46" s="193" t="inlineStr">
        <is>
          <t>↳ sub-item</t>
        </is>
      </c>
      <c r="C46" s="192" t="inlineStr">
        <is>
          <t>Clinical history — Condition.note</t>
        </is>
      </c>
      <c r="D46" s="194" t="inlineStr">
        <is>
          <t>(part of TS1-07)</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7">
        <f>COUNTA(A48:A53)-COUNTIF(M48:M53,"N/A")</f>
        <v/>
      </c>
      <c r="L47" s="197">
        <f>COUNTIF(M48:M53,"Met")</f>
        <v/>
      </c>
      <c r="M47" s="197">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2" t="inlineStr">
        <is>
          <t>TS1-08.1</t>
        </is>
      </c>
      <c r="B48" s="193" t="inlineStr">
        <is>
          <t>↳ sub-item</t>
        </is>
      </c>
      <c r="C48" s="192" t="inlineStr">
        <is>
          <t>Blood pressure — panel with systolic and diastolic components</t>
        </is>
      </c>
      <c r="D48" s="194" t="inlineStr">
        <is>
          <t>(part of TS1-08)</t>
        </is>
      </c>
      <c r="E48" s="195" t="n"/>
      <c r="F48" s="195" t="n"/>
      <c r="G48" s="195" t="n"/>
      <c r="H48" s="195" t="inlineStr">
        <is>
          <t>Yes</t>
        </is>
      </c>
      <c r="I48" s="195" t="n"/>
      <c r="J48" s="195" t="n"/>
      <c r="K48" s="195" t="n"/>
      <c r="L48" s="195" t="n"/>
      <c r="M48" s="196" t="inlineStr">
        <is>
          <t>Not Tested</t>
        </is>
      </c>
      <c r="N48" s="195" t="n"/>
      <c r="O48" s="192">
        <f>IF(M48="Not Met","Needs compliance",IF(M48="Not Tested","Not yet tested",""))</f>
        <v/>
      </c>
      <c r="P48" s="166" t="n"/>
      <c r="T48" s="124" t="inlineStr">
        <is>
          <t>Sub</t>
        </is>
      </c>
      <c r="U48" s="124">
        <f>IF(M48="Not Met","("&amp;1&amp;") "&amp;IF(H48="Yes","★ ","")&amp;C48,"")</f>
        <v/>
      </c>
    </row>
    <row r="49" ht="15.5" customHeight="1" s="125">
      <c r="A49" s="192" t="inlineStr">
        <is>
          <t>TS1-08.2</t>
        </is>
      </c>
      <c r="B49" s="193" t="inlineStr">
        <is>
          <t>↳ sub-item</t>
        </is>
      </c>
      <c r="C49" s="192" t="inlineStr">
        <is>
          <t>Heart rate</t>
        </is>
      </c>
      <c r="D49" s="194" t="inlineStr">
        <is>
          <t>(part of TS1-08)</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Met","("&amp;2&amp;") "&amp;IF(H49="Yes","★ ","")&amp;C49,"")</f>
        <v/>
      </c>
    </row>
    <row r="50" ht="15.5" customHeight="1" s="125">
      <c r="A50" s="192" t="inlineStr">
        <is>
          <t>TS1-08.3</t>
        </is>
      </c>
      <c r="B50" s="193" t="inlineStr">
        <is>
          <t>↳ sub-item</t>
        </is>
      </c>
      <c r="C50" s="192" t="inlineStr">
        <is>
          <t>Respiratory rate</t>
        </is>
      </c>
      <c r="D50" s="194" t="inlineStr">
        <is>
          <t>(part of TS1-08)</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Met","("&amp;3&amp;") "&amp;IF(H50="Yes","★ ","")&amp;C50,"")</f>
        <v/>
      </c>
    </row>
    <row r="51" ht="15.5" customHeight="1" s="125">
      <c r="A51" s="192" t="inlineStr">
        <is>
          <t>TS1-08.4</t>
        </is>
      </c>
      <c r="B51" s="193" t="inlineStr">
        <is>
          <t>↳ sub-item</t>
        </is>
      </c>
      <c r="C51" s="192" t="inlineStr">
        <is>
          <t>Oxygen saturation</t>
        </is>
      </c>
      <c r="D51" s="194" t="inlineStr">
        <is>
          <t>(part of TS1-08)</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Met","("&amp;4&amp;") "&amp;IF(H51="Yes","★ ","")&amp;C51,"")</f>
        <v/>
      </c>
    </row>
    <row r="52" ht="15.5" customHeight="1" s="125">
      <c r="A52" s="192" t="inlineStr">
        <is>
          <t>TS1-08.5</t>
        </is>
      </c>
      <c r="B52" s="193" t="inlineStr">
        <is>
          <t>↳ sub-item</t>
        </is>
      </c>
      <c r="C52" s="192" t="inlineStr">
        <is>
          <t>Body temperature</t>
        </is>
      </c>
      <c r="D52" s="194" t="inlineStr">
        <is>
          <t>(part of TS1-08)</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Met","("&amp;5&amp;") "&amp;IF(H52="Yes","★ ","")&amp;C52,"")</f>
        <v/>
      </c>
    </row>
    <row r="53" ht="15.5" customHeight="1" s="125">
      <c r="A53" s="192" t="inlineStr">
        <is>
          <t>TS1-08.6</t>
        </is>
      </c>
      <c r="B53" s="193" t="inlineStr">
        <is>
          <t>↳ sub-item</t>
        </is>
      </c>
      <c r="C53" s="192" t="inlineStr">
        <is>
          <t>Body weight</t>
        </is>
      </c>
      <c r="D53" s="194" t="inlineStr">
        <is>
          <t>(part of TS1-08)</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7" t="n"/>
      <c r="L54" s="197" t="n"/>
      <c r="M54" s="197"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7" t="n"/>
      <c r="L55" s="197" t="n"/>
      <c r="M55" s="197"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7">
        <f>COUNTA(A57:A58)-COUNTIF(M57:M58,"N/A")</f>
        <v/>
      </c>
      <c r="L56" s="197">
        <f>COUNTIF(M57:M58,"Met")</f>
        <v/>
      </c>
      <c r="M56" s="197">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2" t="inlineStr">
        <is>
          <t>TS1-11.1</t>
        </is>
      </c>
      <c r="B57" s="193" t="inlineStr">
        <is>
          <t>↳ sub-item</t>
        </is>
      </c>
      <c r="C57" s="192" t="inlineStr">
        <is>
          <t>Professional signature — Provenance.signature</t>
        </is>
      </c>
      <c r="D57" s="194" t="inlineStr">
        <is>
          <t>(part of TS1-11)</t>
        </is>
      </c>
      <c r="E57" s="195" t="n"/>
      <c r="F57" s="195" t="n"/>
      <c r="G57" s="195" t="n"/>
      <c r="H57" s="195" t="n"/>
      <c r="I57" s="195" t="n"/>
      <c r="J57" s="195" t="n"/>
      <c r="K57" s="195" t="n"/>
      <c r="L57" s="195" t="n"/>
      <c r="M57" s="196" t="inlineStr">
        <is>
          <t>Not Tested</t>
        </is>
      </c>
      <c r="N57" s="195" t="n"/>
      <c r="O57" s="192">
        <f>IF(M57="Not Met","Needs compliance",IF(M57="Not Tested","Not yet tested",""))</f>
        <v/>
      </c>
      <c r="P57" s="166" t="n"/>
      <c r="T57" s="124" t="inlineStr">
        <is>
          <t>Sub</t>
        </is>
      </c>
      <c r="U57" s="124">
        <f>IF(M57="Not Met","("&amp;1&amp;") "&amp;IF(H57="Yes","★ ","")&amp;C57,"")</f>
        <v/>
      </c>
    </row>
    <row r="58" ht="29" customHeight="1" s="125">
      <c r="A58" s="192" t="inlineStr">
        <is>
          <t>TS1-11.2</t>
        </is>
      </c>
      <c r="B58" s="193" t="inlineStr">
        <is>
          <t>↳ sub-item</t>
        </is>
      </c>
      <c r="C58" s="192" t="inlineStr">
        <is>
          <t>Date &amp; time of signature — Provenance.recorded</t>
        </is>
      </c>
      <c r="D58" s="194" t="inlineStr">
        <is>
          <t>(part of TS1-11)</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7">
        <f>COUNTA(A60:A63)-COUNTIF(M60:M63,"N/A")</f>
        <v/>
      </c>
      <c r="L59" s="197">
        <f>COUNTIF(M60:M63,"Met")</f>
        <v/>
      </c>
      <c r="M59" s="197">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2" t="inlineStr">
        <is>
          <t>TS1-12.1</t>
        </is>
      </c>
      <c r="B60" s="193" t="inlineStr">
        <is>
          <t>↳ sub-item</t>
        </is>
      </c>
      <c r="C60" s="192" t="inlineStr">
        <is>
          <t>Status = requested at submission — Task.status</t>
        </is>
      </c>
      <c r="D60" s="194" t="inlineStr">
        <is>
          <t>(part of TS1-12)</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Met","("&amp;1&amp;") "&amp;IF(H60="Yes","★ ","")&amp;C60,"")</f>
        <v/>
      </c>
    </row>
    <row r="61" ht="29" customHeight="1" s="125">
      <c r="A61" s="192" t="inlineStr">
        <is>
          <t>TS1-12.2</t>
        </is>
      </c>
      <c r="B61" s="193" t="inlineStr">
        <is>
          <t>↳ sub-item</t>
        </is>
      </c>
      <c r="C61" s="192" t="inlineStr">
        <is>
          <t>Linked to the referral — Task.focus → ServiceRequest</t>
        </is>
      </c>
      <c r="D61" s="194" t="inlineStr">
        <is>
          <t>(part of TS1-12)</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Met","("&amp;2&amp;") "&amp;IF(H61="Yes","★ ","")&amp;C61,"")</f>
        <v/>
      </c>
    </row>
    <row r="62" ht="42.5" customHeight="1" s="125">
      <c r="A62" s="192" t="inlineStr">
        <is>
          <t>TS1-12.3</t>
        </is>
      </c>
      <c r="B62" s="193" t="inlineStr">
        <is>
          <t>↳ sub-item</t>
        </is>
      </c>
      <c r="C62" s="192" t="inlineStr">
        <is>
          <t>Requester = referring practitioner; owner = receiving facility — Task.requester / Task.owner</t>
        </is>
      </c>
      <c r="D62" s="194" t="inlineStr">
        <is>
          <t>(part of TS1-12)</t>
        </is>
      </c>
      <c r="E62" s="195" t="n"/>
      <c r="F62" s="195" t="n"/>
      <c r="G62" s="195" t="n"/>
      <c r="H62" s="195" t="n"/>
      <c r="I62" s="195" t="n"/>
      <c r="J62" s="195" t="n"/>
      <c r="K62" s="195" t="n"/>
      <c r="L62" s="195" t="n"/>
      <c r="M62" s="196" t="inlineStr">
        <is>
          <t>Not Tested</t>
        </is>
      </c>
      <c r="N62" s="195" t="n"/>
      <c r="O62" s="192">
        <f>IF(M62="Not Met","Needs compliance",IF(M62="Not Tested","Not yet tested",""))</f>
        <v/>
      </c>
      <c r="P62" s="166" t="n"/>
      <c r="T62" s="124" t="inlineStr">
        <is>
          <t>Sub</t>
        </is>
      </c>
      <c r="U62" s="124">
        <f>IF(M62="Not Met","("&amp;3&amp;") "&amp;IF(H62="Yes","★ ","")&amp;C62,"")</f>
        <v/>
      </c>
    </row>
    <row r="63" ht="15.5" customHeight="1" s="125">
      <c r="A63" s="192" t="inlineStr">
        <is>
          <t>TS1-12.4</t>
        </is>
      </c>
      <c r="B63" s="193" t="inlineStr">
        <is>
          <t>↳ sub-item</t>
        </is>
      </c>
      <c r="C63" s="192" t="inlineStr">
        <is>
          <t>Date / time sent — Task.authoredOn</t>
        </is>
      </c>
      <c r="D63" s="194" t="inlineStr">
        <is>
          <t>(part of TS1-12)</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7" t="n"/>
      <c r="L64" s="197" t="n"/>
      <c r="M64" s="197"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7" t="n"/>
      <c r="L65" s="197" t="n"/>
      <c r="M65" s="197"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7" t="n"/>
      <c r="L66" s="197" t="n"/>
      <c r="M66" s="197"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2" t="inlineStr">
        <is>
          <t>TS1-16.1</t>
        </is>
      </c>
      <c r="B68" s="193" t="inlineStr">
        <is>
          <t>↳ sub-item</t>
        </is>
      </c>
      <c r="C68" s="192" t="inlineStr">
        <is>
          <t>Test referral #1 linked to the single existing Patient</t>
        </is>
      </c>
      <c r="D68" s="194" t="inlineStr">
        <is>
          <t>(part of TS1-16)</t>
        </is>
      </c>
      <c r="E68" s="195" t="n"/>
      <c r="F68" s="195" t="n"/>
      <c r="G68" s="195" t="n"/>
      <c r="H68" s="195" t="inlineStr">
        <is>
          <t>Yes</t>
        </is>
      </c>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TS1-16.2</t>
        </is>
      </c>
      <c r="B69" s="193" t="inlineStr">
        <is>
          <t>↳ sub-item</t>
        </is>
      </c>
      <c r="C69" s="192" t="inlineStr">
        <is>
          <t>Test referral #2 linked to the single existing Patient</t>
        </is>
      </c>
      <c r="D69" s="194" t="inlineStr">
        <is>
          <t>(part of TS1-16)</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TS1-16.3</t>
        </is>
      </c>
      <c r="B70" s="193" t="inlineStr">
        <is>
          <t>↳ sub-item</t>
        </is>
      </c>
      <c r="C70" s="192" t="inlineStr">
        <is>
          <t>Test referral #3 linked to the single existing Patient</t>
        </is>
      </c>
      <c r="D70" s="194" t="inlineStr">
        <is>
          <t>(part of TS1-16)</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7" t="n"/>
      <c r="L71" s="197" t="n"/>
      <c r="M71" s="197"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7" t="n"/>
      <c r="L72" s="197" t="n"/>
      <c r="M72" s="197"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7">
        <f>COUNTA(A74:A86)-COUNTIF(M74:M86,"N/A")</f>
        <v/>
      </c>
      <c r="L73" s="197">
        <f>COUNTIF(M74:M86,"Met")</f>
        <v/>
      </c>
      <c r="M73" s="197">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2" t="inlineStr">
        <is>
          <t>TS1-T.03.1</t>
        </is>
      </c>
      <c r="B74" s="193" t="inlineStr">
        <is>
          <t>↳ sub-item</t>
        </is>
      </c>
      <c r="C74" s="192" t="inlineStr">
        <is>
          <t>Organization declares its PH Core / PHeReF profile</t>
        </is>
      </c>
      <c r="D74" s="194" t="inlineStr">
        <is>
          <t>(part of TS1-T.03)</t>
        </is>
      </c>
      <c r="E74" s="195" t="n"/>
      <c r="F74" s="195" t="n"/>
      <c r="G74" s="195" t="n"/>
      <c r="H74" s="195" t="n"/>
      <c r="I74" s="195" t="n"/>
      <c r="J74" s="195" t="n"/>
      <c r="K74" s="195" t="n"/>
      <c r="L74" s="195" t="n"/>
      <c r="M74" s="196" t="inlineStr">
        <is>
          <t>Not Tested</t>
        </is>
      </c>
      <c r="N74" s="195" t="n"/>
      <c r="O74" s="192">
        <f>IF(M74="Not Met","Needs compliance",IF(M74="Not Tested","Not yet tested",""))</f>
        <v/>
      </c>
      <c r="P74" s="166" t="n"/>
      <c r="T74" s="124" t="inlineStr">
        <is>
          <t>Sub</t>
        </is>
      </c>
      <c r="U74" s="124">
        <f>IF(M74="Not Met","("&amp;1&amp;") "&amp;IF(H74="Yes","★ ","")&amp;C74,"")</f>
        <v/>
      </c>
    </row>
    <row r="75" ht="29" customHeight="1" s="125">
      <c r="A75" s="192" t="inlineStr">
        <is>
          <t>TS1-T.03.2</t>
        </is>
      </c>
      <c r="B75" s="193" t="inlineStr">
        <is>
          <t>↳ sub-item</t>
        </is>
      </c>
      <c r="C75" s="192" t="inlineStr">
        <is>
          <t>Practitioner declares its PH Core / PHeReF profile</t>
        </is>
      </c>
      <c r="D75" s="194" t="inlineStr">
        <is>
          <t>(part of TS1-T.03)</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Met","("&amp;2&amp;") "&amp;IF(H75="Yes","★ ","")&amp;C75,"")</f>
        <v/>
      </c>
    </row>
    <row r="76" ht="29" customHeight="1" s="125">
      <c r="A76" s="192" t="inlineStr">
        <is>
          <t>TS1-T.03.3</t>
        </is>
      </c>
      <c r="B76" s="193" t="inlineStr">
        <is>
          <t>↳ sub-item</t>
        </is>
      </c>
      <c r="C76" s="192" t="inlineStr">
        <is>
          <t>PractitionerRole declares its PH Core / PHeReF profile</t>
        </is>
      </c>
      <c r="D76" s="194" t="inlineStr">
        <is>
          <t>(part of TS1-T.03)</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Met","("&amp;3&amp;") "&amp;IF(H76="Yes","★ ","")&amp;C76,"")</f>
        <v/>
      </c>
    </row>
    <row r="77" ht="29" customHeight="1" s="125">
      <c r="A77" s="192" t="inlineStr">
        <is>
          <t>TS1-T.03.4</t>
        </is>
      </c>
      <c r="B77" s="193" t="inlineStr">
        <is>
          <t>↳ sub-item</t>
        </is>
      </c>
      <c r="C77" s="192" t="inlineStr">
        <is>
          <t>Patient declares its PH Core / PHeReF profile</t>
        </is>
      </c>
      <c r="D77" s="194" t="inlineStr">
        <is>
          <t>(part of TS1-T.03)</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Met","("&amp;4&amp;") "&amp;IF(H77="Yes","★ ","")&amp;C77,"")</f>
        <v/>
      </c>
    </row>
    <row r="78" ht="42.5" customHeight="1" s="125">
      <c r="A78" s="192" t="inlineStr">
        <is>
          <t>TS1-T.03.5</t>
        </is>
      </c>
      <c r="B78" s="193" t="inlineStr">
        <is>
          <t>↳ sub-item</t>
        </is>
      </c>
      <c r="C78" s="192" t="inlineStr">
        <is>
          <t>RelatedPerson (N/A if Patient.contact is used) declares its PH Core / PHeReF profile</t>
        </is>
      </c>
      <c r="D78" s="194" t="inlineStr">
        <is>
          <t>(part of TS1-T.03)</t>
        </is>
      </c>
      <c r="E78" s="195" t="n"/>
      <c r="F78" s="195" t="n"/>
      <c r="G78" s="195" t="n"/>
      <c r="H78" s="195" t="n"/>
      <c r="I78" s="195" t="n"/>
      <c r="J78" s="195" t="n"/>
      <c r="K78" s="195" t="n"/>
      <c r="L78" s="195" t="n"/>
      <c r="M78" s="196" t="inlineStr">
        <is>
          <t>Not Tested</t>
        </is>
      </c>
      <c r="N78" s="195" t="n"/>
      <c r="O78" s="192">
        <f>IF(M78="Not Met","Needs compliance",IF(M78="Not Tested","Not yet tested",""))</f>
        <v/>
      </c>
      <c r="P78" s="166" t="n"/>
      <c r="T78" s="124" t="inlineStr">
        <is>
          <t>Sub</t>
        </is>
      </c>
      <c r="U78" s="124">
        <f>IF(M78="Not Met","("&amp;5&amp;") "&amp;IF(H78="Yes","★ ","")&amp;C78,"")</f>
        <v/>
      </c>
    </row>
    <row r="79" ht="29" customHeight="1" s="125">
      <c r="A79" s="192" t="inlineStr">
        <is>
          <t>TS1-T.03.6</t>
        </is>
      </c>
      <c r="B79" s="193" t="inlineStr">
        <is>
          <t>↳ sub-item</t>
        </is>
      </c>
      <c r="C79" s="192" t="inlineStr">
        <is>
          <t>ServiceRequest declares its PH Core / PHeReF profile</t>
        </is>
      </c>
      <c r="D79" s="194" t="inlineStr">
        <is>
          <t>(part of TS1-T.03)</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Met","("&amp;6&amp;") "&amp;IF(H79="Yes","★ ","")&amp;C79,"")</f>
        <v/>
      </c>
    </row>
    <row r="80" ht="29" customHeight="1" s="125">
      <c r="A80" s="192" t="inlineStr">
        <is>
          <t>TS1-T.03.7</t>
        </is>
      </c>
      <c r="B80" s="193" t="inlineStr">
        <is>
          <t>↳ sub-item</t>
        </is>
      </c>
      <c r="C80" s="192" t="inlineStr">
        <is>
          <t>Task declares its PH Core / PHeReF profile</t>
        </is>
      </c>
      <c r="D80" s="194" t="inlineStr">
        <is>
          <t>(part of TS1-T.03)</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Met","("&amp;7&amp;") "&amp;IF(H80="Yes","★ ","")&amp;C80,"")</f>
        <v/>
      </c>
    </row>
    <row r="81" ht="29" customHeight="1" s="125">
      <c r="A81" s="192" t="inlineStr">
        <is>
          <t>TS1-T.03.8</t>
        </is>
      </c>
      <c r="B81" s="193" t="inlineStr">
        <is>
          <t>↳ sub-item</t>
        </is>
      </c>
      <c r="C81" s="192" t="inlineStr">
        <is>
          <t>Condition declares its PH Core / PHeReF profile</t>
        </is>
      </c>
      <c r="D81" s="194" t="inlineStr">
        <is>
          <t>(part of TS1-T.03)</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Met","("&amp;8&amp;") "&amp;IF(H81="Yes","★ ","")&amp;C81,"")</f>
        <v/>
      </c>
    </row>
    <row r="82" ht="29" customHeight="1" s="125">
      <c r="A82" s="192" t="inlineStr">
        <is>
          <t>TS1-T.03.9</t>
        </is>
      </c>
      <c r="B82" s="193" t="inlineStr">
        <is>
          <t>↳ sub-item</t>
        </is>
      </c>
      <c r="C82" s="192" t="inlineStr">
        <is>
          <t>Observation declares its PH Core / PHeReF profile</t>
        </is>
      </c>
      <c r="D82" s="194" t="inlineStr">
        <is>
          <t>(part of TS1-T.03)</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Met","("&amp;9&amp;") "&amp;IF(H82="Yes","★ ","")&amp;C82,"")</f>
        <v/>
      </c>
    </row>
    <row r="83" ht="29" customHeight="1" s="125">
      <c r="A83" s="192" t="inlineStr">
        <is>
          <t>TS1-T.03.10</t>
        </is>
      </c>
      <c r="B83" s="193" t="inlineStr">
        <is>
          <t>↳ sub-item</t>
        </is>
      </c>
      <c r="C83" s="192" t="inlineStr">
        <is>
          <t>DiagnosticReport declares its PH Core / PHeReF profile</t>
        </is>
      </c>
      <c r="D83" s="194" t="inlineStr">
        <is>
          <t>(part of TS1-T.03)</t>
        </is>
      </c>
      <c r="E83" s="195" t="n"/>
      <c r="F83" s="195" t="n"/>
      <c r="G83" s="195" t="n"/>
      <c r="H83" s="195" t="n"/>
      <c r="I83" s="195" t="n"/>
      <c r="J83" s="195" t="n"/>
      <c r="K83" s="195" t="n"/>
      <c r="L83" s="195" t="n"/>
      <c r="M83" s="196" t="inlineStr">
        <is>
          <t>Not Tested</t>
        </is>
      </c>
      <c r="N83" s="195" t="n"/>
      <c r="O83" s="192">
        <f>IF(M83="Not Met","Needs compliance",IF(M83="Not Tested","Not yet tested",""))</f>
        <v/>
      </c>
      <c r="P83" s="166" t="n"/>
      <c r="T83" s="124" t="inlineStr">
        <is>
          <t>Sub</t>
        </is>
      </c>
      <c r="U83" s="124">
        <f>IF(M83="Not Met","("&amp;10&amp;") "&amp;IF(H83="Yes","★ ","")&amp;C83,"")</f>
        <v/>
      </c>
    </row>
    <row r="84" ht="29" customHeight="1" s="125">
      <c r="A84" s="192" t="inlineStr">
        <is>
          <t>TS1-T.03.11</t>
        </is>
      </c>
      <c r="B84" s="193" t="inlineStr">
        <is>
          <t>↳ sub-item</t>
        </is>
      </c>
      <c r="C84" s="192" t="inlineStr">
        <is>
          <t>MedicationAdministration or Procedure declares its PH Core / PHeReF profile</t>
        </is>
      </c>
      <c r="D84" s="194" t="inlineStr">
        <is>
          <t>(part of TS1-T.03)</t>
        </is>
      </c>
      <c r="E84" s="195" t="n"/>
      <c r="F84" s="195" t="n"/>
      <c r="G84" s="195" t="n"/>
      <c r="H84" s="195" t="n"/>
      <c r="I84" s="195" t="n"/>
      <c r="J84" s="195" t="n"/>
      <c r="K84" s="195" t="n"/>
      <c r="L84" s="195" t="n"/>
      <c r="M84" s="196" t="inlineStr">
        <is>
          <t>Not Tested</t>
        </is>
      </c>
      <c r="N84" s="195" t="n"/>
      <c r="O84" s="192">
        <f>IF(M84="Not Met","Needs compliance",IF(M84="Not Tested","Not yet tested",""))</f>
        <v/>
      </c>
      <c r="P84" s="166" t="n"/>
      <c r="T84" s="124" t="inlineStr">
        <is>
          <t>Sub</t>
        </is>
      </c>
      <c r="U84" s="124">
        <f>IF(M84="Not Met","("&amp;11&amp;") "&amp;IF(H84="Yes","★ ","")&amp;C84,"")</f>
        <v/>
      </c>
    </row>
    <row r="85" ht="29" customHeight="1" s="125">
      <c r="A85" s="192" t="inlineStr">
        <is>
          <t>TS1-T.03.12</t>
        </is>
      </c>
      <c r="B85" s="193" t="inlineStr">
        <is>
          <t>↳ sub-item</t>
        </is>
      </c>
      <c r="C85" s="192" t="inlineStr">
        <is>
          <t>Provenance declares its PH Core / PHeReF profile</t>
        </is>
      </c>
      <c r="D85" s="194" t="inlineStr">
        <is>
          <t>(part of TS1-T.03)</t>
        </is>
      </c>
      <c r="E85" s="195" t="n"/>
      <c r="F85" s="195" t="n"/>
      <c r="G85" s="195" t="n"/>
      <c r="H85" s="195" t="n"/>
      <c r="I85" s="195" t="n"/>
      <c r="J85" s="195" t="n"/>
      <c r="K85" s="195" t="n"/>
      <c r="L85" s="195" t="n"/>
      <c r="M85" s="196" t="inlineStr">
        <is>
          <t>Not Tested</t>
        </is>
      </c>
      <c r="N85" s="195" t="n"/>
      <c r="O85" s="192">
        <f>IF(M85="Not Met","Needs compliance",IF(M85="Not Tested","Not yet tested",""))</f>
        <v/>
      </c>
      <c r="P85" s="166" t="n"/>
      <c r="T85" s="124" t="inlineStr">
        <is>
          <t>Sub</t>
        </is>
      </c>
      <c r="U85" s="124">
        <f>IF(M85="Not Met","("&amp;12&amp;") "&amp;IF(H85="Yes","★ ","")&amp;C85,"")</f>
        <v/>
      </c>
    </row>
    <row r="86" ht="29" customHeight="1" s="125">
      <c r="A86" s="192" t="inlineStr">
        <is>
          <t>TS1-T.03.13</t>
        </is>
      </c>
      <c r="B86" s="193" t="inlineStr">
        <is>
          <t>↳ sub-item</t>
        </is>
      </c>
      <c r="C86" s="192" t="inlineStr">
        <is>
          <t>Encounter declares its PH Core / PHeReF profile</t>
        </is>
      </c>
      <c r="D86" s="194" t="inlineStr">
        <is>
          <t>(part of TS1-T.03)</t>
        </is>
      </c>
      <c r="E86" s="195" t="n"/>
      <c r="F86" s="195" t="n"/>
      <c r="G86" s="195" t="n"/>
      <c r="H86" s="195" t="n"/>
      <c r="I86" s="195" t="n"/>
      <c r="J86" s="195" t="n"/>
      <c r="K86" s="195" t="n"/>
      <c r="L86" s="195" t="n"/>
      <c r="M86" s="196" t="inlineStr">
        <is>
          <t>Not Tested</t>
        </is>
      </c>
      <c r="N86" s="195" t="n"/>
      <c r="O86" s="192">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7" t="n"/>
      <c r="L87" s="197" t="n"/>
      <c r="M87" s="197"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TS2-02.1</t>
        </is>
      </c>
      <c r="B12" s="193" t="inlineStr">
        <is>
          <t>↳ sub-item</t>
        </is>
      </c>
      <c r="C12" s="192" t="inlineStr">
        <is>
          <t>HCPN name</t>
        </is>
      </c>
      <c r="D12" s="194" t="inlineStr">
        <is>
          <t>(part of TS2-02)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TS2-02.2</t>
        </is>
      </c>
      <c r="B13" s="193" t="inlineStr">
        <is>
          <t>↳ sub-item</t>
        </is>
      </c>
      <c r="C13" s="192" t="inlineStr">
        <is>
          <t>Initiating facility name</t>
        </is>
      </c>
      <c r="D13" s="194" t="inlineStr">
        <is>
          <t>(part of TS2-02)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TS2-02.3</t>
        </is>
      </c>
      <c r="B14" s="193" t="inlineStr">
        <is>
          <t>↳ sub-item</t>
        </is>
      </c>
      <c r="C14" s="192" t="inlineStr">
        <is>
          <t>Initiating facility NHFR code</t>
        </is>
      </c>
      <c r="D14" s="194" t="inlineStr">
        <is>
          <t>(part of TS2-02)</t>
        </is>
      </c>
      <c r="E14" s="195" t="n"/>
      <c r="F14" s="195" t="n"/>
      <c r="G14" s="195" t="n"/>
      <c r="H14" s="195"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TS2-02.4</t>
        </is>
      </c>
      <c r="B15" s="193" t="inlineStr">
        <is>
          <t>↳ sub-item</t>
        </is>
      </c>
      <c r="C15" s="192" t="inlineStr">
        <is>
          <t>Initiating facility address</t>
        </is>
      </c>
      <c r="D15" s="194" t="inlineStr">
        <is>
          <t>(part of TS2-02)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15.5" customHeight="1" s="125">
      <c r="A16" s="192" t="inlineStr">
        <is>
          <t>TS2-02.5</t>
        </is>
      </c>
      <c r="B16" s="193" t="inlineStr">
        <is>
          <t>↳ sub-item</t>
        </is>
      </c>
      <c r="C16" s="192" t="inlineStr">
        <is>
          <t>Initiating facility contact number</t>
        </is>
      </c>
      <c r="D16" s="194" t="inlineStr">
        <is>
          <t>(part of TS2-02)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TS2-02.6</t>
        </is>
      </c>
      <c r="B17" s="193" t="inlineStr">
        <is>
          <t>↳ sub-item</t>
        </is>
      </c>
      <c r="C17" s="192" t="inlineStr">
        <is>
          <t>Receiving facility name</t>
        </is>
      </c>
      <c r="D17" s="194" t="inlineStr">
        <is>
          <t>(part of TS2-02)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TS2-02.7</t>
        </is>
      </c>
      <c r="B18" s="193" t="inlineStr">
        <is>
          <t>↳ sub-item</t>
        </is>
      </c>
      <c r="C18" s="192" t="inlineStr">
        <is>
          <t>Receiving facility NHFR code</t>
        </is>
      </c>
      <c r="D18" s="194" t="inlineStr">
        <is>
          <t>(part of TS2-02)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2" t="inlineStr">
        <is>
          <t>TS2-03.1</t>
        </is>
      </c>
      <c r="B20" s="193" t="inlineStr">
        <is>
          <t>↳ sub-item</t>
        </is>
      </c>
      <c r="C20" s="192" t="inlineStr">
        <is>
          <t>Name of referring practitioner</t>
        </is>
      </c>
      <c r="D20" s="194" t="inlineStr">
        <is>
          <t>(part of TS2-03)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Met","("&amp;1&amp;") "&amp;IF(H20="Yes","★ ","")&amp;C20,"")</f>
        <v/>
      </c>
    </row>
    <row r="21" ht="15.5" customHeight="1" s="125">
      <c r="A21" s="192" t="inlineStr">
        <is>
          <t>TS2-03.2</t>
        </is>
      </c>
      <c r="B21" s="193" t="inlineStr">
        <is>
          <t>↳ sub-item</t>
        </is>
      </c>
      <c r="C21" s="192" t="inlineStr">
        <is>
          <t>Practitioner role</t>
        </is>
      </c>
      <c r="D21" s="194" t="inlineStr">
        <is>
          <t>(part of TS2-03)</t>
        </is>
      </c>
      <c r="E21" s="195" t="n"/>
      <c r="F21" s="195" t="n"/>
      <c r="G21" s="195" t="n"/>
      <c r="H21" s="195" t="inlineStr">
        <is>
          <t>Yes</t>
        </is>
      </c>
      <c r="I21" s="195" t="n"/>
      <c r="J21" s="195" t="n"/>
      <c r="K21" s="195" t="n"/>
      <c r="L21" s="195" t="n"/>
      <c r="M21" s="196" t="inlineStr">
        <is>
          <t>Not Tested</t>
        </is>
      </c>
      <c r="N21" s="195" t="n"/>
      <c r="O21" s="192">
        <f>IF(M21="Not Met","Needs compliance",IF(M21="Not Tested","Not yet tested",""))</f>
        <v/>
      </c>
      <c r="P21" s="166" t="n"/>
      <c r="T21" s="124" t="inlineStr">
        <is>
          <t>Sub</t>
        </is>
      </c>
      <c r="U21" s="124">
        <f>IF(M21="Not Met","("&amp;2&amp;") "&amp;IF(H21="Yes","★ ","")&amp;C21,"")</f>
        <v/>
      </c>
    </row>
    <row r="22" ht="29" customHeight="1" s="125">
      <c r="A22" s="192" t="inlineStr">
        <is>
          <t>TS2-03.3</t>
        </is>
      </c>
      <c r="B22" s="193" t="inlineStr">
        <is>
          <t>↳ sub-item</t>
        </is>
      </c>
      <c r="C22" s="192" t="inlineStr">
        <is>
          <t>Care navigator at the referring facility (N/A if none was sent)</t>
        </is>
      </c>
      <c r="D22" s="194" t="inlineStr">
        <is>
          <t>(part of TS2-03)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2" t="inlineStr">
        <is>
          <t>TS2-04.1</t>
        </is>
      </c>
      <c r="B24" s="193" t="inlineStr">
        <is>
          <t>↳ sub-item</t>
        </is>
      </c>
      <c r="C24" s="192" t="inlineStr">
        <is>
          <t>Full name</t>
        </is>
      </c>
      <c r="D24" s="194" t="inlineStr">
        <is>
          <t>(part of TS2-04)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Met","("&amp;1&amp;") "&amp;IF(H24="Yes","★ ","")&amp;C24,"")</f>
        <v/>
      </c>
    </row>
    <row r="25" ht="15.5" customHeight="1" s="125">
      <c r="A25" s="192" t="inlineStr">
        <is>
          <t>TS2-04.2</t>
        </is>
      </c>
      <c r="B25" s="193" t="inlineStr">
        <is>
          <t>↳ sub-item</t>
        </is>
      </c>
      <c r="C25" s="192" t="inlineStr">
        <is>
          <t>PhilSys number</t>
        </is>
      </c>
      <c r="D25" s="194" t="inlineStr">
        <is>
          <t>(part of TS2-04)</t>
        </is>
      </c>
      <c r="E25" s="195" t="n"/>
      <c r="F25" s="195" t="n"/>
      <c r="G25" s="195" t="n"/>
      <c r="H25" s="195" t="inlineStr">
        <is>
          <t>Yes</t>
        </is>
      </c>
      <c r="I25" s="195" t="n"/>
      <c r="J25" s="195" t="n"/>
      <c r="K25" s="195" t="n"/>
      <c r="L25" s="195" t="n"/>
      <c r="M25" s="196" t="inlineStr">
        <is>
          <t>Not Tested</t>
        </is>
      </c>
      <c r="N25" s="195" t="n"/>
      <c r="O25" s="192">
        <f>IF(M25="Not Met","Needs compliance",IF(M25="Not Tested","Not yet tested",""))</f>
        <v/>
      </c>
      <c r="P25" s="166" t="n"/>
      <c r="T25" s="124" t="inlineStr">
        <is>
          <t>Sub</t>
        </is>
      </c>
      <c r="U25" s="124">
        <f>IF(M25="Not Met","("&amp;2&amp;") "&amp;IF(H25="Yes","★ ","")&amp;C25,"")</f>
        <v/>
      </c>
    </row>
    <row r="26" ht="15.5" customHeight="1" s="125">
      <c r="A26" s="192" t="inlineStr">
        <is>
          <t>TS2-04.3</t>
        </is>
      </c>
      <c r="B26" s="193" t="inlineStr">
        <is>
          <t>↳ sub-item</t>
        </is>
      </c>
      <c r="C26" s="192" t="inlineStr">
        <is>
          <t>PhilHealth ID</t>
        </is>
      </c>
      <c r="D26" s="194" t="inlineStr">
        <is>
          <t>(part of TS2-04)</t>
        </is>
      </c>
      <c r="E26" s="195" t="n"/>
      <c r="F26" s="195" t="n"/>
      <c r="G26" s="195" t="n"/>
      <c r="H26" s="195" t="inlineStr">
        <is>
          <t>Yes</t>
        </is>
      </c>
      <c r="I26" s="195" t="n"/>
      <c r="J26" s="195" t="n"/>
      <c r="K26" s="195" t="n"/>
      <c r="L26" s="195" t="n"/>
      <c r="M26" s="196" t="inlineStr">
        <is>
          <t>Not Tested</t>
        </is>
      </c>
      <c r="N26" s="195" t="n"/>
      <c r="O26" s="192">
        <f>IF(M26="Not Met","Needs compliance",IF(M26="Not Tested","Not yet tested",""))</f>
        <v/>
      </c>
      <c r="P26" s="166" t="n"/>
      <c r="T26" s="124" t="inlineStr">
        <is>
          <t>Sub</t>
        </is>
      </c>
      <c r="U26" s="124">
        <f>IF(M26="Not Met","("&amp;3&amp;") "&amp;IF(H26="Yes","★ ","")&amp;C26,"")</f>
        <v/>
      </c>
    </row>
    <row r="27" ht="15.5" customHeight="1" s="125">
      <c r="A27" s="192" t="inlineStr">
        <is>
          <t>TS2-04.4</t>
        </is>
      </c>
      <c r="B27" s="193" t="inlineStr">
        <is>
          <t>↳ sub-item</t>
        </is>
      </c>
      <c r="C27" s="192" t="inlineStr">
        <is>
          <t>Birth date</t>
        </is>
      </c>
      <c r="D27" s="194" t="inlineStr">
        <is>
          <t>(part of TS2-04)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Met","("&amp;4&amp;") "&amp;IF(H27="Yes","★ ","")&amp;C27,"")</f>
        <v/>
      </c>
    </row>
    <row r="28" ht="42.5" customHeight="1" s="125">
      <c r="A28" s="192" t="inlineStr">
        <is>
          <t>TS2-04.5</t>
        </is>
      </c>
      <c r="B28" s="193" t="inlineStr">
        <is>
          <t>↳ sub-item</t>
        </is>
      </c>
      <c r="C28" s="192" t="inlineStr">
        <is>
          <t>Age — computed correctly from the birth date on the day of testing (display check)</t>
        </is>
      </c>
      <c r="D28" s="194" t="inlineStr">
        <is>
          <t>(part of TS2-04)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Met","("&amp;5&amp;") "&amp;IF(H28="Yes","★ ","")&amp;C28,"")</f>
        <v/>
      </c>
    </row>
    <row r="29" ht="15.5" customHeight="1" s="125">
      <c r="A29" s="192" t="inlineStr">
        <is>
          <t>TS2-04.6</t>
        </is>
      </c>
      <c r="B29" s="193" t="inlineStr">
        <is>
          <t>↳ sub-item</t>
        </is>
      </c>
      <c r="C29" s="192" t="inlineStr">
        <is>
          <t>Sex</t>
        </is>
      </c>
      <c r="D29" s="194" t="inlineStr">
        <is>
          <t>(part of TS2-04)</t>
        </is>
      </c>
      <c r="E29" s="195" t="n"/>
      <c r="F29" s="195" t="n"/>
      <c r="G29" s="195" t="n"/>
      <c r="H29" s="195" t="inlineStr">
        <is>
          <t>Yes</t>
        </is>
      </c>
      <c r="I29" s="195" t="n"/>
      <c r="J29" s="195" t="n"/>
      <c r="K29" s="195" t="n"/>
      <c r="L29" s="195" t="n"/>
      <c r="M29" s="196" t="inlineStr">
        <is>
          <t>Not Tested</t>
        </is>
      </c>
      <c r="N29" s="195" t="n"/>
      <c r="O29" s="192">
        <f>IF(M29="Not Met","Needs compliance",IF(M29="Not Tested","Not yet tested",""))</f>
        <v/>
      </c>
      <c r="P29" s="166" t="n"/>
      <c r="T29" s="124" t="inlineStr">
        <is>
          <t>Sub</t>
        </is>
      </c>
      <c r="U29" s="124">
        <f>IF(M29="Not Met","("&amp;6&amp;") "&amp;IF(H29="Yes","★ ","")&amp;C29,"")</f>
        <v/>
      </c>
    </row>
    <row r="30" ht="15.5" customHeight="1" s="125">
      <c r="A30" s="192" t="inlineStr">
        <is>
          <t>TS2-04.7</t>
        </is>
      </c>
      <c r="B30" s="193" t="inlineStr">
        <is>
          <t>↳ sub-item</t>
        </is>
      </c>
      <c r="C30" s="192" t="inlineStr">
        <is>
          <t>Civil status</t>
        </is>
      </c>
      <c r="D30" s="194" t="inlineStr">
        <is>
          <t>(part of TS2-04)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Met","("&amp;7&amp;") "&amp;IF(H30="Yes","★ ","")&amp;C30,"")</f>
        <v/>
      </c>
    </row>
    <row r="31" ht="15.5" customHeight="1" s="125">
      <c r="A31" s="192" t="inlineStr">
        <is>
          <t>TS2-04.8</t>
        </is>
      </c>
      <c r="B31" s="193" t="inlineStr">
        <is>
          <t>↳ sub-item</t>
        </is>
      </c>
      <c r="C31" s="192" t="inlineStr">
        <is>
          <t>Address</t>
        </is>
      </c>
      <c r="D31" s="194" t="inlineStr">
        <is>
          <t>(part of TS2-04)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Met","("&amp;8&amp;") "&amp;IF(H31="Yes","★ ","")&amp;C31,"")</f>
        <v/>
      </c>
    </row>
    <row r="32" ht="15.5" customHeight="1" s="125">
      <c r="A32" s="192" t="inlineStr">
        <is>
          <t>TS2-04.9</t>
        </is>
      </c>
      <c r="B32" s="193" t="inlineStr">
        <is>
          <t>↳ sub-item</t>
        </is>
      </c>
      <c r="C32" s="192" t="inlineStr">
        <is>
          <t>Contact number</t>
        </is>
      </c>
      <c r="D32" s="194" t="inlineStr">
        <is>
          <t>(part of TS2-04)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Met","("&amp;9&amp;") "&amp;IF(H32="Yes","★ ","")&amp;C32,"")</f>
        <v/>
      </c>
    </row>
    <row r="33" ht="15.5" customHeight="1" s="125">
      <c r="A33" s="192" t="inlineStr">
        <is>
          <t>TS2-04.10</t>
        </is>
      </c>
      <c r="B33" s="193" t="inlineStr">
        <is>
          <t>↳ sub-item</t>
        </is>
      </c>
      <c r="C33" s="192" t="inlineStr">
        <is>
          <t>PWD registration (N/A if none was sent)</t>
        </is>
      </c>
      <c r="D33" s="194" t="inlineStr">
        <is>
          <t>(part of TS2-04)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Met","("&amp;10&amp;") "&amp;IF(H33="Yes","★ ","")&amp;C33,"")</f>
        <v/>
      </c>
    </row>
    <row r="34" ht="15.5" customHeight="1" s="125">
      <c r="A34" s="192" t="inlineStr">
        <is>
          <t>TS2-04.11</t>
        </is>
      </c>
      <c r="B34" s="193" t="inlineStr">
        <is>
          <t>↳ sub-item</t>
        </is>
      </c>
      <c r="C34" s="192" t="inlineStr">
        <is>
          <t>Accompanied by / next of kin</t>
        </is>
      </c>
      <c r="D34" s="194" t="inlineStr">
        <is>
          <t>(part of TS2-04)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2" t="inlineStr">
        <is>
          <t>TS2-05.1</t>
        </is>
      </c>
      <c r="B36" s="193" t="inlineStr">
        <is>
          <t>↳ sub-item</t>
        </is>
      </c>
      <c r="C36" s="192" t="inlineStr">
        <is>
          <t>Date of referral</t>
        </is>
      </c>
      <c r="D36" s="194" t="inlineStr">
        <is>
          <t>(part of TS2-05)</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Met","("&amp;1&amp;") "&amp;IF(H36="Yes","★ ","")&amp;C36,"")</f>
        <v/>
      </c>
    </row>
    <row r="37" ht="15.5" customHeight="1" s="125">
      <c r="A37" s="192" t="inlineStr">
        <is>
          <t>TS2-05.2</t>
        </is>
      </c>
      <c r="B37" s="193" t="inlineStr">
        <is>
          <t>↳ sub-item</t>
        </is>
      </c>
      <c r="C37" s="192" t="inlineStr">
        <is>
          <t>Referral category</t>
        </is>
      </c>
      <c r="D37" s="194" t="inlineStr">
        <is>
          <t>(part of TS2-05)</t>
        </is>
      </c>
      <c r="E37" s="195" t="n"/>
      <c r="F37" s="195" t="n"/>
      <c r="G37" s="195" t="n"/>
      <c r="H37" s="195" t="inlineStr">
        <is>
          <t>Yes</t>
        </is>
      </c>
      <c r="I37" s="195" t="n"/>
      <c r="J37" s="195" t="n"/>
      <c r="K37" s="195" t="n"/>
      <c r="L37" s="195" t="n"/>
      <c r="M37" s="196" t="inlineStr">
        <is>
          <t>Not Tested</t>
        </is>
      </c>
      <c r="N37" s="195" t="n"/>
      <c r="O37" s="192">
        <f>IF(M37="Not Met","Needs compliance",IF(M37="Not Tested","Not yet tested",""))</f>
        <v/>
      </c>
      <c r="P37" s="166" t="n"/>
      <c r="T37" s="124" t="inlineStr">
        <is>
          <t>Sub</t>
        </is>
      </c>
      <c r="U37" s="124">
        <f>IF(M37="Not Met","("&amp;2&amp;") "&amp;IF(H37="Yes","★ ","")&amp;C37,"")</f>
        <v/>
      </c>
    </row>
    <row r="38" ht="15.5" customHeight="1" s="125">
      <c r="A38" s="192" t="inlineStr">
        <is>
          <t>TS2-05.3</t>
        </is>
      </c>
      <c r="B38" s="193" t="inlineStr">
        <is>
          <t>↳ sub-item</t>
        </is>
      </c>
      <c r="C38" s="192" t="inlineStr">
        <is>
          <t>Priority</t>
        </is>
      </c>
      <c r="D38" s="194" t="inlineStr">
        <is>
          <t>(part of TS2-05)</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Met","("&amp;3&amp;") "&amp;IF(H38="Yes","★ ","")&amp;C38,"")</f>
        <v/>
      </c>
    </row>
    <row r="39" ht="15.5" customHeight="1" s="125">
      <c r="A39" s="192" t="inlineStr">
        <is>
          <t>TS2-05.4</t>
        </is>
      </c>
      <c r="B39" s="193" t="inlineStr">
        <is>
          <t>↳ sub-item</t>
        </is>
      </c>
      <c r="C39" s="192" t="inlineStr">
        <is>
          <t>Reason for referral</t>
        </is>
      </c>
      <c r="D39" s="194" t="inlineStr">
        <is>
          <t>(part of TS2-05)</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2" t="inlineStr">
        <is>
          <t>TS2-06.1</t>
        </is>
      </c>
      <c r="B41" s="193" t="inlineStr">
        <is>
          <t>↳ sub-item</t>
        </is>
      </c>
      <c r="C41" s="192" t="inlineStr">
        <is>
          <t>Chief complaint</t>
        </is>
      </c>
      <c r="D41" s="194" t="inlineStr">
        <is>
          <t>(part of TS2-06)</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Met","("&amp;1&amp;") "&amp;IF(H41="Yes","★ ","")&amp;C41,"")</f>
        <v/>
      </c>
    </row>
    <row r="42" ht="15.5" customHeight="1" s="125">
      <c r="A42" s="192" t="inlineStr">
        <is>
          <t>TS2-06.2</t>
        </is>
      </c>
      <c r="B42" s="193" t="inlineStr">
        <is>
          <t>↳ sub-item</t>
        </is>
      </c>
      <c r="C42" s="192" t="inlineStr">
        <is>
          <t>Working impression</t>
        </is>
      </c>
      <c r="D42" s="194" t="inlineStr">
        <is>
          <t>(part of TS2-06)</t>
        </is>
      </c>
      <c r="E42" s="195" t="n"/>
      <c r="F42" s="195" t="n"/>
      <c r="G42" s="195" t="n"/>
      <c r="H42" s="195" t="inlineStr">
        <is>
          <t>Yes</t>
        </is>
      </c>
      <c r="I42" s="195" t="n"/>
      <c r="J42" s="195" t="n"/>
      <c r="K42" s="195" t="n"/>
      <c r="L42" s="195" t="n"/>
      <c r="M42" s="196" t="inlineStr">
        <is>
          <t>Not Tested</t>
        </is>
      </c>
      <c r="N42" s="195" t="n"/>
      <c r="O42" s="192">
        <f>IF(M42="Not Met","Needs compliance",IF(M42="Not Tested","Not yet tested",""))</f>
        <v/>
      </c>
      <c r="P42" s="166" t="n"/>
      <c r="T42" s="124" t="inlineStr">
        <is>
          <t>Sub</t>
        </is>
      </c>
      <c r="U42" s="124">
        <f>IF(M42="Not Met","("&amp;2&amp;") "&amp;IF(H42="Yes","★ ","")&amp;C42,"")</f>
        <v/>
      </c>
    </row>
    <row r="43" ht="15.5" customHeight="1" s="125">
      <c r="A43" s="192" t="inlineStr">
        <is>
          <t>TS2-06.3</t>
        </is>
      </c>
      <c r="B43" s="193" t="inlineStr">
        <is>
          <t>↳ sub-item</t>
        </is>
      </c>
      <c r="C43" s="192" t="inlineStr">
        <is>
          <t>Clinical history</t>
        </is>
      </c>
      <c r="D43" s="194" t="inlineStr">
        <is>
          <t>(part of TS2-06)</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Met","("&amp;3&amp;") "&amp;IF(H43="Yes","★ ","")&amp;C43,"")</f>
        <v/>
      </c>
    </row>
    <row r="44" ht="29" customHeight="1" s="125">
      <c r="A44" s="192" t="inlineStr">
        <is>
          <t>TS2-06.4</t>
        </is>
      </c>
      <c r="B44" s="193" t="inlineStr">
        <is>
          <t>↳ sub-item</t>
        </is>
      </c>
      <c r="C44" s="192" t="inlineStr">
        <is>
          <t>Referring encounter context (date / type of visit)</t>
        </is>
      </c>
      <c r="D44" s="194" t="inlineStr">
        <is>
          <t>(part of TS2-06)</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2" t="inlineStr">
        <is>
          <t>TS2-07.1</t>
        </is>
      </c>
      <c r="B46" s="193" t="inlineStr">
        <is>
          <t>↳ sub-item</t>
        </is>
      </c>
      <c r="C46" s="192" t="inlineStr">
        <is>
          <t>Blood pressure (systolic / diastolic)</t>
        </is>
      </c>
      <c r="D46" s="194" t="inlineStr">
        <is>
          <t>(part of TS2-07)</t>
        </is>
      </c>
      <c r="E46" s="195" t="n"/>
      <c r="F46" s="195" t="n"/>
      <c r="G46" s="195" t="n"/>
      <c r="H46" s="195" t="inlineStr">
        <is>
          <t>Yes</t>
        </is>
      </c>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TS2-07.2</t>
        </is>
      </c>
      <c r="B47" s="193" t="inlineStr">
        <is>
          <t>↳ sub-item</t>
        </is>
      </c>
      <c r="C47" s="192" t="inlineStr">
        <is>
          <t>Heart rate</t>
        </is>
      </c>
      <c r="D47" s="194" t="inlineStr">
        <is>
          <t>(part of TS2-07)</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15.5" customHeight="1" s="125">
      <c r="A48" s="192" t="inlineStr">
        <is>
          <t>TS2-07.3</t>
        </is>
      </c>
      <c r="B48" s="193" t="inlineStr">
        <is>
          <t>↳ sub-item</t>
        </is>
      </c>
      <c r="C48" s="192" t="inlineStr">
        <is>
          <t>Respiratory rate</t>
        </is>
      </c>
      <c r="D48" s="194" t="inlineStr">
        <is>
          <t>(part of TS2-07)</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15.5" customHeight="1" s="125">
      <c r="A49" s="192" t="inlineStr">
        <is>
          <t>TS2-07.4</t>
        </is>
      </c>
      <c r="B49" s="193" t="inlineStr">
        <is>
          <t>↳ sub-item</t>
        </is>
      </c>
      <c r="C49" s="192" t="inlineStr">
        <is>
          <t>Oxygen saturation</t>
        </is>
      </c>
      <c r="D49" s="194" t="inlineStr">
        <is>
          <t>(part of TS2-07)</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5.5" customHeight="1" s="125">
      <c r="A50" s="192" t="inlineStr">
        <is>
          <t>TS2-07.5</t>
        </is>
      </c>
      <c r="B50" s="193" t="inlineStr">
        <is>
          <t>↳ sub-item</t>
        </is>
      </c>
      <c r="C50" s="192" t="inlineStr">
        <is>
          <t>Body temperature</t>
        </is>
      </c>
      <c r="D50" s="194" t="inlineStr">
        <is>
          <t>(part of TS2-07)</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Met","("&amp;5&amp;") "&amp;IF(H50="Yes","★ ","")&amp;C50,"")</f>
        <v/>
      </c>
    </row>
    <row r="51" ht="15.5" customHeight="1" s="125">
      <c r="A51" s="192" t="inlineStr">
        <is>
          <t>TS2-07.6</t>
        </is>
      </c>
      <c r="B51" s="193" t="inlineStr">
        <is>
          <t>↳ sub-item</t>
        </is>
      </c>
      <c r="C51" s="192" t="inlineStr">
        <is>
          <t>Body weight</t>
        </is>
      </c>
      <c r="D51" s="194" t="inlineStr">
        <is>
          <t>(part of TS2-07)</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2" t="inlineStr">
        <is>
          <t>TS2-09.1</t>
        </is>
      </c>
      <c r="B54" s="193" t="inlineStr">
        <is>
          <t>↳ sub-item</t>
        </is>
      </c>
      <c r="C54" s="192" t="inlineStr">
        <is>
          <t>Treatment given</t>
        </is>
      </c>
      <c r="D54" s="194" t="inlineStr">
        <is>
          <t>(part of TS2-09)</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Met","("&amp;1&amp;") "&amp;IF(H54="Yes","★ ","")&amp;C54,"")</f>
        <v/>
      </c>
    </row>
    <row r="55" ht="15.5" customHeight="1" s="125">
      <c r="A55" s="192" t="inlineStr">
        <is>
          <t>TS2-09.2</t>
        </is>
      </c>
      <c r="B55" s="193" t="inlineStr">
        <is>
          <t>↳ sub-item</t>
        </is>
      </c>
      <c r="C55" s="192" t="inlineStr">
        <is>
          <t>Professional signature</t>
        </is>
      </c>
      <c r="D55" s="194" t="inlineStr">
        <is>
          <t>(part of TS2-09)</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Met","("&amp;2&amp;") "&amp;IF(H55="Yes","★ ","")&amp;C55,"")</f>
        <v/>
      </c>
    </row>
    <row r="56" ht="15.5" customHeight="1" s="125">
      <c r="A56" s="192" t="inlineStr">
        <is>
          <t>TS2-09.3</t>
        </is>
      </c>
      <c r="B56" s="193" t="inlineStr">
        <is>
          <t>↳ sub-item</t>
        </is>
      </c>
      <c r="C56" s="192" t="inlineStr">
        <is>
          <t>Date &amp; time of signature</t>
        </is>
      </c>
      <c r="D56" s="194" t="inlineStr">
        <is>
          <t>(part of TS2-09)</t>
        </is>
      </c>
      <c r="E56" s="195" t="n"/>
      <c r="F56" s="195" t="n"/>
      <c r="G56" s="195" t="n"/>
      <c r="H56" s="195" t="n"/>
      <c r="I56" s="195" t="n"/>
      <c r="J56" s="195" t="n"/>
      <c r="K56" s="195" t="n"/>
      <c r="L56" s="195" t="n"/>
      <c r="M56" s="196" t="inlineStr">
        <is>
          <t>Not Tested</t>
        </is>
      </c>
      <c r="N56" s="195" t="n"/>
      <c r="O56" s="192">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TS2-10.1</t>
        </is>
      </c>
      <c r="B58" s="193" t="inlineStr">
        <is>
          <t>↳ sub-item</t>
        </is>
      </c>
      <c r="C58" s="192" t="inlineStr">
        <is>
          <t>Name of receiving practitioner</t>
        </is>
      </c>
      <c r="D58" s="194" t="inlineStr">
        <is>
          <t>(part of TS2-10)</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42.5" customHeight="1" s="125">
      <c r="A59" s="192" t="inlineStr">
        <is>
          <t>TS2-10.2</t>
        </is>
      </c>
      <c r="B59" s="193" t="inlineStr">
        <is>
          <t>↳ sub-item</t>
        </is>
      </c>
      <c r="C59" s="192" t="inlineStr">
        <is>
          <t>Care navigator at the receiving facility — Task.owner (N/A if the facility does not assign one)</t>
        </is>
      </c>
      <c r="D59" s="194" t="inlineStr">
        <is>
          <t>(part of TS2-10)</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TS2-10.3</t>
        </is>
      </c>
      <c r="B60" s="193" t="inlineStr">
        <is>
          <t>↳ sub-item</t>
        </is>
      </c>
      <c r="C60" s="192" t="inlineStr">
        <is>
          <t>Practitioner role (receiving)</t>
        </is>
      </c>
      <c r="D60" s="194" t="inlineStr">
        <is>
          <t>(part of TS2-10)</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42.5" customHeight="1" s="125">
      <c r="A61" s="192" t="inlineStr">
        <is>
          <t>TS2-10.4</t>
        </is>
      </c>
      <c r="B61" s="193" t="inlineStr">
        <is>
          <t>↳ sub-item</t>
        </is>
      </c>
      <c r="C61" s="192" t="inlineStr">
        <is>
          <t>Referring and receiving practitioners are stored and displayed as separate people — not merged or overwritten</t>
        </is>
      </c>
      <c r="D61" s="194" t="inlineStr">
        <is>
          <t>(part of TS2-10)</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2" t="inlineStr">
        <is>
          <t>TS2-11.1</t>
        </is>
      </c>
      <c r="B63" s="193" t="inlineStr">
        <is>
          <t>↳ sub-item</t>
        </is>
      </c>
      <c r="C63" s="192" t="inlineStr">
        <is>
          <t>Received — Task.status = received</t>
        </is>
      </c>
      <c r="D63" s="194" t="inlineStr">
        <is>
          <t>(part of TS2-11)</t>
        </is>
      </c>
      <c r="E63" s="195" t="n"/>
      <c r="F63" s="195" t="n"/>
      <c r="G63" s="195" t="n"/>
      <c r="H63" s="195" t="inlineStr">
        <is>
          <t>Yes</t>
        </is>
      </c>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15.5" customHeight="1" s="125">
      <c r="A64" s="192" t="inlineStr">
        <is>
          <t>TS2-11.2</t>
        </is>
      </c>
      <c r="B64" s="193" t="inlineStr">
        <is>
          <t>↳ sub-item</t>
        </is>
      </c>
      <c r="C64" s="192" t="inlineStr">
        <is>
          <t>Accepted — Task.status = accepted</t>
        </is>
      </c>
      <c r="D64" s="194" t="inlineStr">
        <is>
          <t>(part of TS2-11)</t>
        </is>
      </c>
      <c r="E64" s="195" t="n"/>
      <c r="F64" s="195" t="n"/>
      <c r="G64" s="195" t="n"/>
      <c r="H64" s="195" t="inlineStr">
        <is>
          <t>Yes</t>
        </is>
      </c>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42.5" customHeight="1" s="125">
      <c r="A65" s="192" t="inlineStr">
        <is>
          <t>TS2-11.3</t>
        </is>
      </c>
      <c r="B65" s="193" t="inlineStr">
        <is>
          <t>↳ sub-item</t>
        </is>
      </c>
      <c r="C65" s="192" t="inlineStr">
        <is>
          <t>Rejected with reason — Task.status = rejected + statusReason (second test referral)</t>
        </is>
      </c>
      <c r="D65" s="194" t="inlineStr">
        <is>
          <t>(part of TS2-11)</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15.5" customHeight="1" s="125">
      <c r="A66" s="192" t="inlineStr">
        <is>
          <t>TS2-11.4</t>
        </is>
      </c>
      <c r="B66" s="193" t="inlineStr">
        <is>
          <t>↳ sub-item</t>
        </is>
      </c>
      <c r="C66" s="192" t="inlineStr">
        <is>
          <t>Completed — Task.status = completed</t>
        </is>
      </c>
      <c r="D66" s="194" t="inlineStr">
        <is>
          <t>(part of TS2-11)</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2" t="inlineStr">
        <is>
          <t>TS2-13.1</t>
        </is>
      </c>
      <c r="B69" s="193" t="inlineStr">
        <is>
          <t>↳ sub-item</t>
        </is>
      </c>
      <c r="C69" s="192" t="inlineStr">
        <is>
          <t>Requested — date/time recorded (Task.authoredOn)</t>
        </is>
      </c>
      <c r="D69" s="194" t="inlineStr">
        <is>
          <t>(part of TS2-13)</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TS2-13.2</t>
        </is>
      </c>
      <c r="B70" s="193" t="inlineStr">
        <is>
          <t>↳ sub-item</t>
        </is>
      </c>
      <c r="C70" s="192" t="inlineStr">
        <is>
          <t>Received — date/time recorded and kept (absorbs Rev 6 TS2-11.5)</t>
        </is>
      </c>
      <c r="D70" s="194" t="inlineStr">
        <is>
          <t>(part of TS2-13)</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29" customHeight="1" s="125">
      <c r="A71" s="192" t="inlineStr">
        <is>
          <t>TS2-13.3</t>
        </is>
      </c>
      <c r="B71" s="193" t="inlineStr">
        <is>
          <t>↳ sub-item</t>
        </is>
      </c>
      <c r="C71" s="192" t="inlineStr">
        <is>
          <t>Accepted / rejected — date/time recorded and kept</t>
        </is>
      </c>
      <c r="D71" s="194" t="inlineStr">
        <is>
          <t>(part of TS2-13)</t>
        </is>
      </c>
      <c r="E71" s="195" t="n"/>
      <c r="F71" s="195" t="n"/>
      <c r="G71" s="195" t="n"/>
      <c r="H71" s="195" t="inlineStr">
        <is>
          <t>Yes</t>
        </is>
      </c>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15.5" customHeight="1" s="125">
      <c r="A72" s="192" t="inlineStr">
        <is>
          <t>TS2-13.4</t>
        </is>
      </c>
      <c r="B72" s="193" t="inlineStr">
        <is>
          <t>↳ sub-item</t>
        </is>
      </c>
      <c r="C72" s="192" t="inlineStr">
        <is>
          <t>Completed — date/time recorded and kept</t>
        </is>
      </c>
      <c r="D72" s="194" t="inlineStr">
        <is>
          <t>(part of TS2-13)</t>
        </is>
      </c>
      <c r="E72" s="195" t="n"/>
      <c r="F72" s="195" t="n"/>
      <c r="G72" s="195" t="n"/>
      <c r="H72" s="195" t="inlineStr">
        <is>
          <t>Yes</t>
        </is>
      </c>
      <c r="I72" s="195" t="n"/>
      <c r="J72" s="195" t="n"/>
      <c r="K72" s="195" t="n"/>
      <c r="L72" s="195" t="n"/>
      <c r="M72" s="196" t="inlineStr">
        <is>
          <t>Not Tested</t>
        </is>
      </c>
      <c r="N72" s="195" t="n"/>
      <c r="O72" s="192">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2" t="inlineStr">
        <is>
          <t>TEC-03.1</t>
        </is>
      </c>
      <c r="B13" s="193" t="inlineStr">
        <is>
          <t>↳ sub-item</t>
        </is>
      </c>
      <c r="C13" s="192" t="inlineStr">
        <is>
          <t>Referring clinician role restricted correctly</t>
        </is>
      </c>
      <c r="D13" s="194" t="inlineStr">
        <is>
          <t>(part of TEC-03)</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Met","("&amp;1&amp;") "&amp;IF(H13="Yes","★ ","")&amp;C13,"")</f>
        <v/>
      </c>
    </row>
    <row r="14" ht="29" customHeight="1" s="125">
      <c r="A14" s="192" t="inlineStr">
        <is>
          <t>TEC-03.2</t>
        </is>
      </c>
      <c r="B14" s="193" t="inlineStr">
        <is>
          <t>↳ sub-item</t>
        </is>
      </c>
      <c r="C14" s="192" t="inlineStr">
        <is>
          <t>Receiving clinician role restricted correctly</t>
        </is>
      </c>
      <c r="D14" s="194" t="inlineStr">
        <is>
          <t>(part of TEC-03)</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Met","("&amp;2&amp;") "&amp;IF(H14="Yes","★ ","")&amp;C14,"")</f>
        <v/>
      </c>
    </row>
    <row r="15" ht="15.5" customHeight="1" s="125">
      <c r="A15" s="192" t="inlineStr">
        <is>
          <t>TEC-03.3</t>
        </is>
      </c>
      <c r="B15" s="193" t="inlineStr">
        <is>
          <t>↳ sub-item</t>
        </is>
      </c>
      <c r="C15" s="192" t="inlineStr">
        <is>
          <t>Administrator role restricted correctly</t>
        </is>
      </c>
      <c r="D15" s="194" t="inlineStr">
        <is>
          <t>(part of TEC-03)</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Met","("&amp;3&amp;") "&amp;IF(H15="Yes","★ ","")&amp;C15,"")</f>
        <v/>
      </c>
    </row>
    <row r="16" ht="29" customHeight="1" s="125">
      <c r="A16" s="192" t="inlineStr">
        <is>
          <t>TEC-03.4</t>
        </is>
      </c>
      <c r="B16" s="193" t="inlineStr">
        <is>
          <t>↳ sub-item</t>
        </is>
      </c>
      <c r="C16" s="192" t="inlineStr">
        <is>
          <t>Report / dashboard viewer role restricted correctly</t>
        </is>
      </c>
      <c r="D16" s="194" t="inlineStr">
        <is>
          <t>(part of TEC-03)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2" t="inlineStr">
        <is>
          <t>TEC-04.1</t>
        </is>
      </c>
      <c r="B18" s="193" t="inlineStr">
        <is>
          <t>↳ sub-item</t>
        </is>
      </c>
      <c r="C18" s="192" t="inlineStr">
        <is>
          <t>"Create" logged with user and date/time</t>
        </is>
      </c>
      <c r="D18" s="194" t="inlineStr">
        <is>
          <t>(part of TEC-04)</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TEC-04.2</t>
        </is>
      </c>
      <c r="B19" s="193" t="inlineStr">
        <is>
          <t>↳ sub-item</t>
        </is>
      </c>
      <c r="C19" s="192" t="inlineStr">
        <is>
          <t>"View" logged with user and date/time</t>
        </is>
      </c>
      <c r="D19" s="194" t="inlineStr">
        <is>
          <t>(part of TEC-04)</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TEC-04.3</t>
        </is>
      </c>
      <c r="B20" s="193" t="inlineStr">
        <is>
          <t>↳ sub-item</t>
        </is>
      </c>
      <c r="C20" s="192" t="inlineStr">
        <is>
          <t>"Edit" logged with user and date/time</t>
        </is>
      </c>
      <c r="D20" s="194" t="inlineStr">
        <is>
          <t>(part of TEC-04)</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TEC-04.4</t>
        </is>
      </c>
      <c r="B21" s="193" t="inlineStr">
        <is>
          <t>↳ sub-item</t>
        </is>
      </c>
      <c r="C21" s="192" t="inlineStr">
        <is>
          <t>"Send" logged with user and date/time</t>
        </is>
      </c>
      <c r="D21" s="194" t="inlineStr">
        <is>
          <t>(part of TEC-04)</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29" customHeight="1" s="125">
      <c r="A22" s="192" t="inlineStr">
        <is>
          <t>TEC-04.5</t>
        </is>
      </c>
      <c r="B22" s="193" t="inlineStr">
        <is>
          <t>↳ sub-item</t>
        </is>
      </c>
      <c r="C22" s="192" t="inlineStr">
        <is>
          <t>"Receive" logged with user and date/time</t>
        </is>
      </c>
      <c r="D22" s="194" t="inlineStr">
        <is>
          <t>(part of TEC-04)</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TEC-04.6</t>
        </is>
      </c>
      <c r="B23" s="193" t="inlineStr">
        <is>
          <t>↳ sub-item</t>
        </is>
      </c>
      <c r="C23" s="192" t="inlineStr">
        <is>
          <t>"Accept" logged with user and date/time</t>
        </is>
      </c>
      <c r="D23" s="194" t="inlineStr">
        <is>
          <t>(part of TEC-04)</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29" customHeight="1" s="125">
      <c r="A24" s="192" t="inlineStr">
        <is>
          <t>TEC-04.7</t>
        </is>
      </c>
      <c r="B24" s="193" t="inlineStr">
        <is>
          <t>↳ sub-item</t>
        </is>
      </c>
      <c r="C24" s="192" t="inlineStr">
        <is>
          <t>"Decline" logged with user and date/time</t>
        </is>
      </c>
      <c r="D24" s="194" t="inlineStr">
        <is>
          <t>(part of TEC-04)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Met","("&amp;7&amp;") "&amp;IF(H24="Yes","★ ","")&amp;C24,"")</f>
        <v/>
      </c>
    </row>
    <row r="25" ht="15.5" customHeight="1" s="125">
      <c r="A25" s="192" t="inlineStr">
        <is>
          <t>TEC-04.8</t>
        </is>
      </c>
      <c r="B25" s="193" t="inlineStr">
        <is>
          <t>↳ sub-item</t>
        </is>
      </c>
      <c r="C25" s="192" t="inlineStr">
        <is>
          <t>"Print" logged with user and date/time</t>
        </is>
      </c>
      <c r="D25" s="194" t="inlineStr">
        <is>
          <t>(part of TEC-04)</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Met","("&amp;8&amp;") "&amp;IF(H25="Yes","★ ","")&amp;C25,"")</f>
        <v/>
      </c>
    </row>
    <row r="26" ht="15.5" customHeight="1" s="125">
      <c r="A26" s="192" t="inlineStr">
        <is>
          <t>TEC-04.9</t>
        </is>
      </c>
      <c r="B26" s="193" t="inlineStr">
        <is>
          <t>↳ sub-item</t>
        </is>
      </c>
      <c r="C26" s="192" t="inlineStr">
        <is>
          <t>"Export" logged with user and date/time</t>
        </is>
      </c>
      <c r="D26" s="194" t="inlineStr">
        <is>
          <t>(part of TEC-04)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Met","("&amp;9&amp;") "&amp;IF(H26="Yes","★ ","")&amp;C26,"")</f>
        <v/>
      </c>
    </row>
    <row r="27" ht="15.5" customHeight="1" s="125">
      <c r="A27" s="192" t="inlineStr">
        <is>
          <t>TEC-04.10</t>
        </is>
      </c>
      <c r="B27" s="193" t="inlineStr">
        <is>
          <t>↳ sub-item</t>
        </is>
      </c>
      <c r="C27" s="192" t="inlineStr">
        <is>
          <t>"Log-in" logged with user and date/time</t>
        </is>
      </c>
      <c r="D27" s="194" t="inlineStr">
        <is>
          <t>(part of TEC-04)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2" t="inlineStr">
        <is>
          <t>TEC-09.1</t>
        </is>
      </c>
      <c r="B32" s="193" t="inlineStr">
        <is>
          <t>↳ sub-item</t>
        </is>
      </c>
      <c r="C32" s="192" t="inlineStr">
        <is>
          <t>Failed log-in: generic message (no user enumeration) and lock-out / throttling per TB-05 (TD-D18)</t>
        </is>
      </c>
      <c r="D32" s="194" t="inlineStr">
        <is>
          <t>(part of TEC-09)</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Met","("&amp;1&amp;") "&amp;IF(H32="Yes","★ ","")&amp;C32,"")</f>
        <v/>
      </c>
    </row>
    <row r="33" ht="42.5" customHeight="1" s="125">
      <c r="A33" s="192" t="inlineStr">
        <is>
          <t>TEC-09.2</t>
        </is>
      </c>
      <c r="B33" s="193" t="inlineStr">
        <is>
          <t>↳ sub-item</t>
        </is>
      </c>
      <c r="C33" s="192" t="inlineStr">
        <is>
          <t>Cross-facility access blocked — referrals of another facility cannot be listed, searched or opened (TD-D19)</t>
        </is>
      </c>
      <c r="D33" s="194" t="inlineStr">
        <is>
          <t>(part of TEC-09)</t>
        </is>
      </c>
      <c r="E33" s="195" t="n"/>
      <c r="F33" s="195" t="n"/>
      <c r="G33" s="195" t="n"/>
      <c r="H33" s="195" t="inlineStr">
        <is>
          <t>Yes</t>
        </is>
      </c>
      <c r="I33" s="195" t="n"/>
      <c r="J33" s="195" t="n"/>
      <c r="K33" s="195" t="n"/>
      <c r="L33" s="195" t="n"/>
      <c r="M33" s="196" t="inlineStr">
        <is>
          <t>Not Tested</t>
        </is>
      </c>
      <c r="N33" s="195" t="n"/>
      <c r="O33" s="192">
        <f>IF(M33="Not Met","Needs compliance",IF(M33="Not Tested","Not yet tested",""))</f>
        <v/>
      </c>
      <c r="P33" s="166" t="n"/>
      <c r="T33" s="124" t="inlineStr">
        <is>
          <t>Sub</t>
        </is>
      </c>
      <c r="U33" s="124">
        <f>IF(M33="Not Met","("&amp;2&amp;") "&amp;IF(H33="Yes","★ ","")&amp;C33,"")</f>
        <v/>
      </c>
    </row>
    <row r="34" ht="42.5" customHeight="1" s="125">
      <c r="A34" s="192" t="inlineStr">
        <is>
          <t>TEC-09.3</t>
        </is>
      </c>
      <c r="B34" s="193" t="inlineStr">
        <is>
          <t>↳ sub-item</t>
        </is>
      </c>
      <c r="C34" s="192" t="inlineStr">
        <is>
          <t>Direct object reference blocked — changing an ID in the URL / API does not reveal another facility's data (TD-D20)</t>
        </is>
      </c>
      <c r="D34" s="194" t="inlineStr">
        <is>
          <t>(part of TEC-09)</t>
        </is>
      </c>
      <c r="E34" s="195" t="n"/>
      <c r="F34" s="195" t="n"/>
      <c r="G34" s="195" t="n"/>
      <c r="H34" s="195" t="inlineStr">
        <is>
          <t>Yes</t>
        </is>
      </c>
      <c r="I34" s="195" t="n"/>
      <c r="J34" s="195" t="n"/>
      <c r="K34" s="195" t="n"/>
      <c r="L34" s="195" t="n"/>
      <c r="M34" s="196" t="inlineStr">
        <is>
          <t>Not Tested</t>
        </is>
      </c>
      <c r="N34" s="195" t="n"/>
      <c r="O34" s="192">
        <f>IF(M34="Not Met","Needs compliance",IF(M34="Not Tested","Not yet tested",""))</f>
        <v/>
      </c>
      <c r="P34" s="166" t="n"/>
      <c r="T34" s="124" t="inlineStr">
        <is>
          <t>Sub</t>
        </is>
      </c>
      <c r="U34" s="124">
        <f>IF(M34="Not Met","("&amp;3&amp;") "&amp;IF(H34="Yes","★ ","")&amp;C34,"")</f>
        <v/>
      </c>
    </row>
    <row r="35" ht="56" customHeight="1" s="125">
      <c r="A35" s="192" t="inlineStr">
        <is>
          <t>TEC-09.4</t>
        </is>
      </c>
      <c r="B35" s="193" t="inlineStr">
        <is>
          <t>↳ sub-item</t>
        </is>
      </c>
      <c r="C35" s="192" t="inlineStr">
        <is>
          <t>No privilege escalation — admin functions unreachable by direct URL / API; users cannot change their own role (TD-D21)</t>
        </is>
      </c>
      <c r="D35" s="194" t="inlineStr">
        <is>
          <t>(part of TEC-09)</t>
        </is>
      </c>
      <c r="E35" s="195" t="n"/>
      <c r="F35" s="195" t="n"/>
      <c r="G35" s="195" t="n"/>
      <c r="H35" s="195"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Met","("&amp;4&amp;") "&amp;IF(H35="Yes","★ ","")&amp;C35,"")</f>
        <v/>
      </c>
    </row>
    <row r="36" ht="42.5" customHeight="1" s="125">
      <c r="A36" s="192" t="inlineStr">
        <is>
          <t>TEC-09.5</t>
        </is>
      </c>
      <c r="B36" s="193" t="inlineStr">
        <is>
          <t>↳ sub-item</t>
        </is>
      </c>
      <c r="C36" s="192" t="inlineStr">
        <is>
          <t>Requests without a valid session / token are refused (HTTP 401 / 403 or redirect to log-in)</t>
        </is>
      </c>
      <c r="D36" s="194" t="inlineStr">
        <is>
          <t>(part of TEC-09)</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2" t="inlineStr">
        <is>
          <t>TEC-10.1</t>
        </is>
      </c>
      <c r="B38" s="193" t="inlineStr">
        <is>
          <t>↳ sub-item</t>
        </is>
      </c>
      <c r="C38" s="192" t="inlineStr">
        <is>
          <t>Session invalid after log-out (Back / replayed request refused)</t>
        </is>
      </c>
      <c r="D38" s="194" t="inlineStr">
        <is>
          <t>(part of TEC-10)</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29" customHeight="1" s="125">
      <c r="A39" s="192" t="inlineStr">
        <is>
          <t>TEC-10.2</t>
        </is>
      </c>
      <c r="B39" s="193" t="inlineStr">
        <is>
          <t>↳ sub-item</t>
        </is>
      </c>
      <c r="C39" s="192" t="inlineStr">
        <is>
          <t>Expired session / token refused; re-authentication required</t>
        </is>
      </c>
      <c r="D39" s="194" t="inlineStr">
        <is>
          <t>(part of TEC-10)</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42.5" customHeight="1" s="125">
      <c r="A40" s="192" t="inlineStr">
        <is>
          <t>TEC-10.3</t>
        </is>
      </c>
      <c r="B40" s="193" t="inlineStr">
        <is>
          <t>↳ sub-item</t>
        </is>
      </c>
      <c r="C40" s="192" t="inlineStr">
        <is>
          <t>Deactivated account: new log-in blocked immediately; active session ended within the TB-12 limit</t>
        </is>
      </c>
      <c r="D40" s="194" t="inlineStr">
        <is>
          <t>(part of TEC-10)</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2" t="inlineStr">
        <is>
          <t>TEC-11.1</t>
        </is>
      </c>
      <c r="B42" s="193" t="inlineStr">
        <is>
          <t>↳ sub-item</t>
        </is>
      </c>
      <c r="C42" s="192" t="inlineStr">
        <is>
          <t>Error messages show no stack trace, SQL, paths, versions or unauthorised patient data</t>
        </is>
      </c>
      <c r="D42" s="194" t="inlineStr">
        <is>
          <t>(part of TEC-11)</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Met","("&amp;1&amp;") "&amp;IF(H42="Yes","★ ","")&amp;C42,"")</f>
        <v/>
      </c>
    </row>
    <row r="43" ht="29" customHeight="1" s="125">
      <c r="A43" s="192" t="inlineStr">
        <is>
          <t>TEC-11.2</t>
        </is>
      </c>
      <c r="B43" s="193" t="inlineStr">
        <is>
          <t>↳ sub-item</t>
        </is>
      </c>
      <c r="C43" s="192" t="inlineStr">
        <is>
          <t>No credentials / tokens / API keys in client code, URLs or browser storage</t>
        </is>
      </c>
      <c r="D43" s="194" t="inlineStr">
        <is>
          <t>(part of TEC-11)</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Met","("&amp;2&amp;") "&amp;IF(H43="Yes","★ ","")&amp;C43,"")</f>
        <v/>
      </c>
    </row>
    <row r="44" ht="29" customHeight="1" s="125">
      <c r="A44" s="192" t="inlineStr">
        <is>
          <t>TEC-11.3</t>
        </is>
      </c>
      <c r="B44" s="193" t="inlineStr">
        <is>
          <t>↳ sub-item</t>
        </is>
      </c>
      <c r="C44" s="192" t="inlineStr">
        <is>
          <t>Application logs exclude secrets and unnecessary personal data (TB-13)</t>
        </is>
      </c>
      <c r="D44" s="194" t="inlineStr">
        <is>
          <t>(part of TEC-11)</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2" t="inlineStr">
        <is>
          <t>TEC-12.1</t>
        </is>
      </c>
      <c r="B46" s="193" t="inlineStr">
        <is>
          <t>↳ sub-item</t>
        </is>
      </c>
      <c r="C46" s="192" t="inlineStr">
        <is>
          <t>Audit entries cannot be edited or deleted through the application (any role)</t>
        </is>
      </c>
      <c r="D46" s="194" t="inlineStr">
        <is>
          <t>(part of TEC-12)</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TEC-12.2</t>
        </is>
      </c>
      <c r="B47" s="193" t="inlineStr">
        <is>
          <t>↳ sub-item</t>
        </is>
      </c>
      <c r="C47" s="192" t="inlineStr">
        <is>
          <t>Failed log-in attempts are logged</t>
        </is>
      </c>
      <c r="D47" s="194" t="inlineStr">
        <is>
          <t>(part of TEC-12)</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29" customHeight="1" s="125">
      <c r="A48" s="192" t="inlineStr">
        <is>
          <t>TEC-12.3</t>
        </is>
      </c>
      <c r="B48" s="193" t="inlineStr">
        <is>
          <t>↳ sub-item</t>
        </is>
      </c>
      <c r="C48" s="192" t="inlineStr">
        <is>
          <t>Role / permission changes and account deactivation are logged</t>
        </is>
      </c>
      <c r="D48" s="194" t="inlineStr">
        <is>
          <t>(part of TEC-12)</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29" customHeight="1" s="125">
      <c r="A49" s="192" t="inlineStr">
        <is>
          <t>TEC-12.4</t>
        </is>
      </c>
      <c r="B49" s="193" t="inlineStr">
        <is>
          <t>↳ sub-item</t>
        </is>
      </c>
      <c r="C49" s="192" t="inlineStr">
        <is>
          <t>Audit log viewing / export restricted to an authorised role</t>
        </is>
      </c>
      <c r="D49" s="194" t="inlineStr">
        <is>
          <t>(part of TEC-12)</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2" t="inlineStr">
        <is>
          <t>TEC-13.1</t>
        </is>
      </c>
      <c r="B51" s="193" t="inlineStr">
        <is>
          <t>↳ sub-item</t>
        </is>
      </c>
      <c r="C51" s="192" t="inlineStr">
        <is>
          <t>Connection refused to an endpoint with an invalid / untrusted certificate (TD-D22)</t>
        </is>
      </c>
      <c r="D51" s="194" t="inlineStr">
        <is>
          <t>(part of TEC-13)</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Met","("&amp;1&amp;") "&amp;IF(H51="Yes","★ ","")&amp;C51,"")</f>
        <v/>
      </c>
    </row>
    <row r="52" ht="42.5" customHeight="1" s="125">
      <c r="A52" s="192" t="inlineStr">
        <is>
          <t>TEC-13.2</t>
        </is>
      </c>
      <c r="B52" s="193" t="inlineStr">
        <is>
          <t>↳ sub-item</t>
        </is>
      </c>
      <c r="C52" s="192" t="inlineStr">
        <is>
          <t>Rate limiting / abuse control on any internet-facing API exposed by the EMR (N/A if none)</t>
        </is>
      </c>
      <c r="D52" s="194" t="inlineStr">
        <is>
          <t>(part of TEC-13)</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2" t="inlineStr">
        <is>
          <t>TS3-01.1</t>
        </is>
      </c>
      <c r="B55" s="193" t="inlineStr">
        <is>
          <t>↳ sub-item</t>
        </is>
      </c>
      <c r="C55" s="192" t="inlineStr">
        <is>
          <t>Missing Patient.birthDate (1..1) — blocked or rejection shown; referral not marked sent (TD-D01)</t>
        </is>
      </c>
      <c r="D55" s="194" t="inlineStr">
        <is>
          <t>(part of TS3-01)</t>
        </is>
      </c>
      <c r="E55" s="195" t="n"/>
      <c r="F55" s="195" t="n"/>
      <c r="G55" s="195" t="n"/>
      <c r="H55" s="195" t="inlineStr">
        <is>
          <t>Yes</t>
        </is>
      </c>
      <c r="I55" s="195" t="n"/>
      <c r="J55" s="195" t="n"/>
      <c r="K55" s="195" t="n"/>
      <c r="L55" s="195" t="n"/>
      <c r="M55" s="196" t="inlineStr">
        <is>
          <t>Not Tested</t>
        </is>
      </c>
      <c r="N55" s="195" t="n"/>
      <c r="O55" s="192">
        <f>IF(M55="Not Met","Needs compliance",IF(M55="Not Tested","Not yet tested",""))</f>
        <v/>
      </c>
      <c r="P55" s="166" t="n"/>
      <c r="T55" s="124" t="inlineStr">
        <is>
          <t>Sub</t>
        </is>
      </c>
      <c r="U55" s="124">
        <f>IF(M55="Not Met","("&amp;1&amp;") "&amp;IF(H55="Yes","★ ","")&amp;C55,"")</f>
        <v/>
      </c>
    </row>
    <row r="56" ht="42.5" customHeight="1" s="125">
      <c r="A56" s="192" t="inlineStr">
        <is>
          <t>TS3-01.2</t>
        </is>
      </c>
      <c r="B56" s="193" t="inlineStr">
        <is>
          <t>↳ sub-item</t>
        </is>
      </c>
      <c r="C56" s="192" t="inlineStr">
        <is>
          <t>Missing receiving facility (ServiceRequest.performer) — blocked or rejection shown (TD-D02)</t>
        </is>
      </c>
      <c r="D56" s="194" t="inlineStr">
        <is>
          <t>(part of TS3-01)</t>
        </is>
      </c>
      <c r="E56" s="195" t="n"/>
      <c r="F56" s="195" t="n"/>
      <c r="G56" s="195" t="n"/>
      <c r="H56" s="195" t="inlineStr">
        <is>
          <t>Yes</t>
        </is>
      </c>
      <c r="I56" s="195" t="n"/>
      <c r="J56" s="195" t="n"/>
      <c r="K56" s="195" t="n"/>
      <c r="L56" s="195" t="n"/>
      <c r="M56" s="196" t="inlineStr">
        <is>
          <t>Not Tested</t>
        </is>
      </c>
      <c r="N56" s="195" t="n"/>
      <c r="O56" s="192">
        <f>IF(M56="Not Met","Needs compliance",IF(M56="Not Tested","Not yet tested",""))</f>
        <v/>
      </c>
      <c r="P56" s="166" t="n"/>
      <c r="T56" s="124" t="inlineStr">
        <is>
          <t>Sub</t>
        </is>
      </c>
      <c r="U56" s="124">
        <f>IF(M56="Not Met","("&amp;2&amp;") "&amp;IF(H56="Yes","★ ","")&amp;C56,"")</f>
        <v/>
      </c>
    </row>
    <row r="57" ht="42.5" customHeight="1" s="125">
      <c r="A57" s="192" t="inlineStr">
        <is>
          <t>TS3-01.3</t>
        </is>
      </c>
      <c r="B57" s="193" t="inlineStr">
        <is>
          <t>↳ sub-item</t>
        </is>
      </c>
      <c r="C57" s="192" t="inlineStr">
        <is>
          <t>After correction, the referral is accepted and exactly one ServiceRequest / Task exists on the SHR</t>
        </is>
      </c>
      <c r="D57" s="194" t="inlineStr">
        <is>
          <t>(part of TS3-01)</t>
        </is>
      </c>
      <c r="E57" s="195" t="n"/>
      <c r="F57" s="195" t="n"/>
      <c r="G57" s="195" t="n"/>
      <c r="H57" s="195" t="inlineStr">
        <is>
          <t>Yes</t>
        </is>
      </c>
      <c r="I57" s="195" t="n"/>
      <c r="J57" s="195" t="n"/>
      <c r="K57" s="195" t="n"/>
      <c r="L57" s="195" t="n"/>
      <c r="M57" s="196" t="inlineStr">
        <is>
          <t>Not Tested</t>
        </is>
      </c>
      <c r="N57" s="195" t="n"/>
      <c r="O57" s="192">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2" t="inlineStr">
        <is>
          <t>TS3-02.1</t>
        </is>
      </c>
      <c r="B59" s="193" t="inlineStr">
        <is>
          <t>↳ sub-item</t>
        </is>
      </c>
      <c r="C59" s="192" t="inlineStr">
        <is>
          <t>Impossible date (TD-D03) — prevented or rejection handled</t>
        </is>
      </c>
      <c r="D59" s="194" t="inlineStr">
        <is>
          <t>(part of TS3-02)</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Met","("&amp;1&amp;") "&amp;IF(H59="Yes","★ ","")&amp;C59,"")</f>
        <v/>
      </c>
    </row>
    <row r="60" ht="29" customHeight="1" s="125">
      <c r="A60" s="192" t="inlineStr">
        <is>
          <t>TS3-02.2</t>
        </is>
      </c>
      <c r="B60" s="193" t="inlineStr">
        <is>
          <t>↳ sub-item</t>
        </is>
      </c>
      <c r="C60" s="192" t="inlineStr">
        <is>
          <t>Non-numeric vital-sign value (TD-D04) — prevented or rejection handled</t>
        </is>
      </c>
      <c r="D60" s="194" t="inlineStr">
        <is>
          <t>(part of TS3-02)</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Met","("&amp;2&amp;") "&amp;IF(H60="Yes","★ ","")&amp;C60,"")</f>
        <v/>
      </c>
    </row>
    <row r="61" ht="29" customHeight="1" s="125">
      <c r="A61" s="192" t="inlineStr">
        <is>
          <t>TS3-02.3</t>
        </is>
      </c>
      <c r="B61" s="193" t="inlineStr">
        <is>
          <t>↳ sub-item</t>
        </is>
      </c>
      <c r="C61" s="192" t="inlineStr">
        <is>
          <t>Birth date in the future (TD-D05) — prevented or rejection handled</t>
        </is>
      </c>
      <c r="D61" s="194" t="inlineStr">
        <is>
          <t>(part of TS3-02)</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2" t="inlineStr">
        <is>
          <t>TS3-03.1</t>
        </is>
      </c>
      <c r="B63" s="193" t="inlineStr">
        <is>
          <t>↳ sub-item</t>
        </is>
      </c>
      <c r="C63" s="192" t="inlineStr">
        <is>
          <t>Unknown receiving facility NHFR code (TD-D06) — prevented or handled</t>
        </is>
      </c>
      <c r="D63" s="194" t="inlineStr">
        <is>
          <t>(part of TS3-03)</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TS3-03.2</t>
        </is>
      </c>
      <c r="B64" s="193" t="inlineStr">
        <is>
          <t>↳ sub-item</t>
        </is>
      </c>
      <c r="C64" s="192" t="inlineStr">
        <is>
          <t>Unregistered practitioner as requester (TD-D07) — prevented or handled</t>
        </is>
      </c>
      <c r="D64" s="194" t="inlineStr">
        <is>
          <t>(part of TS3-03)</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2" t="inlineStr">
        <is>
          <t>TS3-04.1</t>
        </is>
      </c>
      <c r="B66" s="193" t="inlineStr">
        <is>
          <t>↳ sub-item</t>
        </is>
      </c>
      <c r="C66" s="192" t="inlineStr">
        <is>
          <t>Double Send (TD-D08) — exactly one ServiceRequest and one Task on the SHR</t>
        </is>
      </c>
      <c r="D66" s="194" t="inlineStr">
        <is>
          <t>(part of TS3-04)</t>
        </is>
      </c>
      <c r="E66" s="195" t="n"/>
      <c r="F66" s="195" t="n"/>
      <c r="G66" s="195" t="n"/>
      <c r="H66" s="195" t="inlineStr">
        <is>
          <t>Yes</t>
        </is>
      </c>
      <c r="I66" s="195" t="n"/>
      <c r="J66" s="195" t="n"/>
      <c r="K66" s="195" t="n"/>
      <c r="L66" s="195" t="n"/>
      <c r="M66" s="196" t="inlineStr">
        <is>
          <t>Not Tested</t>
        </is>
      </c>
      <c r="N66" s="195" t="n"/>
      <c r="O66" s="192">
        <f>IF(M66="Not Met","Needs compliance",IF(M66="Not Tested","Not yet tested",""))</f>
        <v/>
      </c>
      <c r="P66" s="166" t="n"/>
      <c r="T66" s="124" t="inlineStr">
        <is>
          <t>Sub</t>
        </is>
      </c>
      <c r="U66" s="124">
        <f>IF(M66="Not Met","("&amp;1&amp;") "&amp;IF(H66="Yes","★ ","")&amp;C66,"")</f>
        <v/>
      </c>
    </row>
    <row r="67" ht="42.5" customHeight="1" s="125">
      <c r="A67" s="192" t="inlineStr">
        <is>
          <t>TS3-04.2</t>
        </is>
      </c>
      <c r="B67" s="193" t="inlineStr">
        <is>
          <t>↳ sub-item</t>
        </is>
      </c>
      <c r="C67" s="192" t="inlineStr">
        <is>
          <t>Resend / retry of an already accepted referral (TD-D09) — no second referral created</t>
        </is>
      </c>
      <c r="D67" s="194" t="inlineStr">
        <is>
          <t>(part of TS3-04)</t>
        </is>
      </c>
      <c r="E67" s="195" t="n"/>
      <c r="F67" s="195" t="n"/>
      <c r="G67" s="195" t="n"/>
      <c r="H67" s="195" t="inlineStr">
        <is>
          <t>Yes</t>
        </is>
      </c>
      <c r="I67" s="195" t="n"/>
      <c r="J67" s="195" t="n"/>
      <c r="K67" s="195" t="n"/>
      <c r="L67" s="195" t="n"/>
      <c r="M67" s="196" t="inlineStr">
        <is>
          <t>Not Tested</t>
        </is>
      </c>
      <c r="N67" s="195" t="n"/>
      <c r="O67" s="192">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2" t="inlineStr">
        <is>
          <t>TS3-05.1</t>
        </is>
      </c>
      <c r="B69" s="193" t="inlineStr">
        <is>
          <t>↳ sub-item</t>
        </is>
      </c>
      <c r="C69" s="192" t="inlineStr">
        <is>
          <t>Offline creation (TD-D10) — queued or documented fallback followed; user sees status</t>
        </is>
      </c>
      <c r="D69" s="194" t="inlineStr">
        <is>
          <t>(part of TS3-05)</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TS3-05.2</t>
        </is>
      </c>
      <c r="B70" s="193" t="inlineStr">
        <is>
          <t>↳ sub-item</t>
        </is>
      </c>
      <c r="C70" s="192" t="inlineStr">
        <is>
          <t>Interruption mid-send (TD-D11) — no loss; exactly one copy after recovery</t>
        </is>
      </c>
      <c r="D70" s="194" t="inlineStr">
        <is>
          <t>(part of TS3-05)</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42.5" customHeight="1" s="125">
      <c r="A71" s="192" t="inlineStr">
        <is>
          <t>TS3-05.3</t>
        </is>
      </c>
      <c r="B71" s="193" t="inlineStr">
        <is>
          <t>↳ sub-item</t>
        </is>
      </c>
      <c r="C71" s="192" t="inlineStr">
        <is>
          <t>Original date/time referred kept after delayed sending (ServiceRequest.authoredOn)</t>
        </is>
      </c>
      <c r="D71" s="194" t="inlineStr">
        <is>
          <t>(part of TS3-05)</t>
        </is>
      </c>
      <c r="E71" s="195" t="n"/>
      <c r="F71" s="195" t="n"/>
      <c r="G71" s="195" t="n"/>
      <c r="H71" s="195" t="n"/>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2" t="inlineStr">
        <is>
          <t>TS3-06.1</t>
        </is>
      </c>
      <c r="B73" s="193" t="inlineStr">
        <is>
          <t>↳ sub-item</t>
        </is>
      </c>
      <c r="C73" s="192" t="inlineStr">
        <is>
          <t>No orphan or half-saved resources from the failed attempt on the SHR</t>
        </is>
      </c>
      <c r="D73" s="194" t="inlineStr">
        <is>
          <t>(part of TS3-06)</t>
        </is>
      </c>
      <c r="E73" s="195" t="n"/>
      <c r="F73" s="195" t="n"/>
      <c r="G73" s="195" t="n"/>
      <c r="H73" s="195" t="inlineStr">
        <is>
          <t>Yes</t>
        </is>
      </c>
      <c r="I73" s="195" t="n"/>
      <c r="J73" s="195" t="n"/>
      <c r="K73" s="195" t="n"/>
      <c r="L73" s="195" t="n"/>
      <c r="M73" s="196" t="inlineStr">
        <is>
          <t>Not Tested</t>
        </is>
      </c>
      <c r="N73" s="195" t="n"/>
      <c r="O73" s="192">
        <f>IF(M73="Not Met","Needs compliance",IF(M73="Not Tested","Not yet tested",""))</f>
        <v/>
      </c>
      <c r="P73" s="166" t="n"/>
      <c r="T73" s="124" t="inlineStr">
        <is>
          <t>Sub</t>
        </is>
      </c>
      <c r="U73" s="124">
        <f>IF(M73="Not Met","("&amp;1&amp;") "&amp;IF(H73="Yes","★ ","")&amp;C73,"")</f>
        <v/>
      </c>
    </row>
    <row r="74" ht="29" customHeight="1" s="125">
      <c r="A74" s="192" t="inlineStr">
        <is>
          <t>TS3-06.2</t>
        </is>
      </c>
      <c r="B74" s="193" t="inlineStr">
        <is>
          <t>↳ sub-item</t>
        </is>
      </c>
      <c r="C74" s="192" t="inlineStr">
        <is>
          <t>EMR does not show the referral as sent; the user can correct and resend</t>
        </is>
      </c>
      <c r="D74" s="194" t="inlineStr">
        <is>
          <t>(part of TS3-06)</t>
        </is>
      </c>
      <c r="E74" s="195" t="n"/>
      <c r="F74" s="195" t="n"/>
      <c r="G74" s="195" t="n"/>
      <c r="H74" s="195" t="inlineStr">
        <is>
          <t>Yes</t>
        </is>
      </c>
      <c r="I74" s="195" t="n"/>
      <c r="J74" s="195" t="n"/>
      <c r="K74" s="195" t="n"/>
      <c r="L74" s="195" t="n"/>
      <c r="M74" s="196" t="inlineStr">
        <is>
          <t>Not Tested</t>
        </is>
      </c>
      <c r="N74" s="195" t="n"/>
      <c r="O74" s="192">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2" t="inlineStr">
        <is>
          <t>TS3-07.1</t>
        </is>
      </c>
      <c r="B76" s="193" t="inlineStr">
        <is>
          <t>↳ sub-item</t>
        </is>
      </c>
      <c r="C76" s="192" t="inlineStr">
        <is>
          <t>Terminology server unavailable (TD-D13) — cached valid codes or clear block; no invented codes</t>
        </is>
      </c>
      <c r="D76" s="194" t="inlineStr">
        <is>
          <t>(part of TS3-07)</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Met","("&amp;1&amp;") "&amp;IF(H76="Yes","★ ","")&amp;C76,"")</f>
        <v/>
      </c>
    </row>
    <row r="77" ht="42.5" customHeight="1" s="125">
      <c r="A77" s="192" t="inlineStr">
        <is>
          <t>TS3-07.2</t>
        </is>
      </c>
      <c r="B77" s="193" t="inlineStr">
        <is>
          <t>↳ sub-item</t>
        </is>
      </c>
      <c r="C77" s="192" t="inlineStr">
        <is>
          <t>Facility registry unavailable (TD-D14) — cached NHFR list or clear block; no free-typed facility</t>
        </is>
      </c>
      <c r="D77" s="194" t="inlineStr">
        <is>
          <t>(part of TS3-07)</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2" t="inlineStr">
        <is>
          <t>TS3-09.1</t>
        </is>
      </c>
      <c r="B80" s="193" t="inlineStr">
        <is>
          <t>↳ sub-item</t>
        </is>
      </c>
      <c r="C80" s="192" t="inlineStr">
        <is>
          <t>Outage shown to the user (list marked out of date / connection error)</t>
        </is>
      </c>
      <c r="D80" s="194" t="inlineStr">
        <is>
          <t>(part of TS3-09)</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Met","("&amp;1&amp;") "&amp;IF(H80="Yes","★ ","")&amp;C80,"")</f>
        <v/>
      </c>
    </row>
    <row r="81" ht="29" customHeight="1" s="125">
      <c r="A81" s="192" t="inlineStr">
        <is>
          <t>TS3-09.2</t>
        </is>
      </c>
      <c r="B81" s="193" t="inlineStr">
        <is>
          <t>↳ sub-item</t>
        </is>
      </c>
      <c r="C81" s="192" t="inlineStr">
        <is>
          <t>After recovery, both referrals appear without manual ID entry (TD-D16)</t>
        </is>
      </c>
      <c r="D81" s="194" t="inlineStr">
        <is>
          <t>(part of TS3-09)</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Met","("&amp;2&amp;") "&amp;IF(H81="Yes","★ ","")&amp;C81,"")</f>
        <v/>
      </c>
    </row>
    <row r="82" ht="29" customHeight="1" s="125">
      <c r="A82" s="192" t="inlineStr">
        <is>
          <t>TS3-09.3</t>
        </is>
      </c>
      <c r="B82" s="193" t="inlineStr">
        <is>
          <t>↳ sub-item</t>
        </is>
      </c>
      <c r="C82" s="192" t="inlineStr">
        <is>
          <t>Duplicate delivery (TD-D17) — referral listed once only</t>
        </is>
      </c>
      <c r="D82" s="194" t="inlineStr">
        <is>
          <t>(part of TS3-09)</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7">
        <f>COUNTA(A11:A16)-COUNTIF(M11:M16,"N/A")</f>
        <v/>
      </c>
      <c r="L10" s="197">
        <f>COUNTIF(M11:M16,"Met")</f>
        <v/>
      </c>
      <c r="M10" s="197">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2" t="inlineStr">
        <is>
          <t>L3-01.1</t>
        </is>
      </c>
      <c r="B11" s="193" t="inlineStr">
        <is>
          <t>↳ sub-item</t>
        </is>
      </c>
      <c r="C11" s="192" t="inlineStr">
        <is>
          <t>Facility details — referring and receiving facility names, NHFR codes, addresses, HCPN (TS1-01, TS1-02)</t>
        </is>
      </c>
      <c r="D11" s="194" t="inlineStr">
        <is>
          <t>(part of L3-01)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56" customHeight="1" s="125">
      <c r="A12" s="192" t="inlineStr">
        <is>
          <t>L3-01.2</t>
        </is>
      </c>
      <c r="B12" s="193" t="inlineStr">
        <is>
          <t>↳ sub-item</t>
        </is>
      </c>
      <c r="C12" s="192" t="inlineStr">
        <is>
          <t>Patient details — name, PhilSys, PhilHealth, birth date / age, sex, civil status, address, contact, PWD, accompanying person (TS1-04, TS1-05)</t>
        </is>
      </c>
      <c r="D12" s="194" t="inlineStr">
        <is>
          <t>(part of L3-01)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42.5" customHeight="1" s="125">
      <c r="A13" s="192" t="inlineStr">
        <is>
          <t>L3-01.3</t>
        </is>
      </c>
      <c r="B13" s="193" t="inlineStr">
        <is>
          <t>↳ sub-item</t>
        </is>
      </c>
      <c r="C13" s="192" t="inlineStr">
        <is>
          <t>Referral details — date of referral, referral category, priority, reason for referral (TS1-06)</t>
        </is>
      </c>
      <c r="D13" s="194" t="inlineStr">
        <is>
          <t>(part of L3-01)</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L3-01.4</t>
        </is>
      </c>
      <c r="B14" s="193" t="inlineStr">
        <is>
          <t>↳ sub-item</t>
        </is>
      </c>
      <c r="C14" s="192" t="inlineStr">
        <is>
          <t>Clinical information — chief complaint, working impression, clinical history, vital signs, lab attachment noted, treatment given (TS1-07 to TS1-10)</t>
        </is>
      </c>
      <c r="D14" s="194" t="inlineStr">
        <is>
          <t>(part of L3-01)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56" customHeight="1" s="125">
      <c r="A15" s="192" t="inlineStr">
        <is>
          <t>L3-01.5</t>
        </is>
      </c>
      <c r="B15" s="193" t="inlineStr">
        <is>
          <t>↳ sub-item</t>
        </is>
      </c>
      <c r="C15" s="192" t="inlineStr">
        <is>
          <t>Practitioners and signature — referring practitioner and role, care navigator, signature with date / time (TS1-03, TS1-11)</t>
        </is>
      </c>
      <c r="D15" s="194" t="inlineStr">
        <is>
          <t>(part of L3-01)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42.5" customHeight="1" s="125">
      <c r="A16" s="192" t="inlineStr">
        <is>
          <t>L3-01.6</t>
        </is>
      </c>
      <c r="B16" s="193" t="inlineStr">
        <is>
          <t>↳ sub-item</t>
        </is>
      </c>
      <c r="C16" s="192" t="inlineStr">
        <is>
          <t>Referral status — current status and receiving facility response (TS1-12, TS2-11)</t>
        </is>
      </c>
      <c r="D16" s="194" t="inlineStr">
        <is>
          <t>(part of L3-01)</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7">
        <f>COUNTA(A18:A23)-COUNTIF(M18:M23,"N/A")</f>
        <v/>
      </c>
      <c r="L17" s="197">
        <f>COUNTIF(M18:M23,"Met")</f>
        <v/>
      </c>
      <c r="M17" s="197">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2" t="inlineStr">
        <is>
          <t>L3-02.1</t>
        </is>
      </c>
      <c r="B18" s="193" t="inlineStr">
        <is>
          <t>↳ sub-item</t>
        </is>
      </c>
      <c r="C18" s="192" t="inlineStr">
        <is>
          <t>Patient</t>
        </is>
      </c>
      <c r="D18" s="194" t="inlineStr">
        <is>
          <t>(part of L3-02)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L3-02.2</t>
        </is>
      </c>
      <c r="B19" s="193" t="inlineStr">
        <is>
          <t>↳ sub-item</t>
        </is>
      </c>
      <c r="C19" s="192" t="inlineStr">
        <is>
          <t>Referring facility</t>
        </is>
      </c>
      <c r="D19" s="194" t="inlineStr">
        <is>
          <t>(part of L3-02)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L3-02.3</t>
        </is>
      </c>
      <c r="B20" s="193" t="inlineStr">
        <is>
          <t>↳ sub-item</t>
        </is>
      </c>
      <c r="C20" s="192" t="inlineStr">
        <is>
          <t>Facility type</t>
        </is>
      </c>
      <c r="D20" s="194" t="inlineStr">
        <is>
          <t>(part of L3-02)</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L3-02.4</t>
        </is>
      </c>
      <c r="B21" s="193" t="inlineStr">
        <is>
          <t>↳ sub-item</t>
        </is>
      </c>
      <c r="C21" s="192" t="inlineStr">
        <is>
          <t>Facility classification</t>
        </is>
      </c>
      <c r="D21" s="194" t="inlineStr">
        <is>
          <t>(part of L3-02)</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15.5" customHeight="1" s="125">
      <c r="A22" s="192" t="inlineStr">
        <is>
          <t>L3-02.5</t>
        </is>
      </c>
      <c r="B22" s="193" t="inlineStr">
        <is>
          <t>↳ sub-item</t>
        </is>
      </c>
      <c r="C22" s="192" t="inlineStr">
        <is>
          <t>TAT</t>
        </is>
      </c>
      <c r="D22" s="194" t="inlineStr">
        <is>
          <t>(part of L3-02)</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L3-02.6</t>
        </is>
      </c>
      <c r="B23" s="193" t="inlineStr">
        <is>
          <t>↳ sub-item</t>
        </is>
      </c>
      <c r="C23" s="192" t="inlineStr">
        <is>
          <t>Filter by month / year</t>
        </is>
      </c>
      <c r="D23" s="194" t="inlineStr">
        <is>
          <t>(part of L3-02)</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7" t="n"/>
      <c r="L24" s="197" t="n"/>
      <c r="M24" s="197"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7">
        <f>COUNTA(A26:A28)-COUNTIF(M26:M28,"N/A")</f>
        <v/>
      </c>
      <c r="L25" s="197">
        <f>COUNTIF(M26:M28,"Met")</f>
        <v/>
      </c>
      <c r="M25" s="197">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2" t="inlineStr">
        <is>
          <t>L3-04.1</t>
        </is>
      </c>
      <c r="B26" s="193" t="inlineStr">
        <is>
          <t>↳ sub-item</t>
        </is>
      </c>
      <c r="C26" s="192" t="inlineStr">
        <is>
          <t>Incoming referrals match</t>
        </is>
      </c>
      <c r="D26" s="194" t="inlineStr">
        <is>
          <t>(part of L3-04)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15.5" customHeight="1" s="125">
      <c r="A27" s="192" t="inlineStr">
        <is>
          <t>L3-04.2</t>
        </is>
      </c>
      <c r="B27" s="193" t="inlineStr">
        <is>
          <t>↳ sub-item</t>
        </is>
      </c>
      <c r="C27" s="192" t="inlineStr">
        <is>
          <t>Outgoing referrals match</t>
        </is>
      </c>
      <c r="D27" s="194" t="inlineStr">
        <is>
          <t>(part of L3-04)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15.5" customHeight="1" s="125">
      <c r="A28" s="192" t="inlineStr">
        <is>
          <t>L3-04.3</t>
        </is>
      </c>
      <c r="B28" s="193" t="inlineStr">
        <is>
          <t>↳ sub-item</t>
        </is>
      </c>
      <c r="C28" s="192" t="inlineStr">
        <is>
          <t>Received referrals match</t>
        </is>
      </c>
      <c r="D28" s="194" t="inlineStr">
        <is>
          <t>(part of L3-04)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7">
        <f>COUNTA(A30:A31)-COUNTIF(M30:M31,"N/A")</f>
        <v/>
      </c>
      <c r="L29" s="197">
        <f>COUNTIF(M30:M31,"Met")</f>
        <v/>
      </c>
      <c r="M29" s="197">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2" t="inlineStr">
        <is>
          <t>L3-05.1</t>
        </is>
      </c>
      <c r="B30" s="193" t="inlineStr">
        <is>
          <t>↳ sub-item</t>
        </is>
      </c>
      <c r="C30" s="192" t="inlineStr">
        <is>
          <t>Deferred / denied referrals match</t>
        </is>
      </c>
      <c r="D30" s="194" t="inlineStr">
        <is>
          <t>(part of L3-05)</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Met","("&amp;1&amp;") "&amp;IF(H30="Yes","★ ","")&amp;C30,"")</f>
        <v/>
      </c>
    </row>
    <row r="31" ht="15.5" customHeight="1" s="125">
      <c r="A31" s="192" t="inlineStr">
        <is>
          <t>L3-05.2</t>
        </is>
      </c>
      <c r="B31" s="193" t="inlineStr">
        <is>
          <t>↳ sub-item</t>
        </is>
      </c>
      <c r="C31" s="192" t="inlineStr">
        <is>
          <t>Redirected referrals match</t>
        </is>
      </c>
      <c r="D31" s="194" t="inlineStr">
        <is>
          <t>(part of L3-05)</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7">
        <f>COUNTA(A33:A36)-COUNTIF(M33:M36,"N/A")</f>
        <v/>
      </c>
      <c r="L32" s="197">
        <f>COUNTIF(M33:M36,"Met")</f>
        <v/>
      </c>
      <c r="M32" s="197">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2" t="inlineStr">
        <is>
          <t>L3-06.1</t>
        </is>
      </c>
      <c r="B33" s="193" t="inlineStr">
        <is>
          <t>↳ sub-item</t>
        </is>
      </c>
      <c r="C33" s="192" t="inlineStr">
        <is>
          <t>Reason: Consultation matches</t>
        </is>
      </c>
      <c r="D33" s="194" t="inlineStr">
        <is>
          <t>(part of L3-06)</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Met","("&amp;1&amp;") "&amp;IF(H33="Yes","★ ","")&amp;C33,"")</f>
        <v/>
      </c>
    </row>
    <row r="34" ht="15.5" customHeight="1" s="125">
      <c r="A34" s="192" t="inlineStr">
        <is>
          <t>L3-06.2</t>
        </is>
      </c>
      <c r="B34" s="193" t="inlineStr">
        <is>
          <t>↳ sub-item</t>
        </is>
      </c>
      <c r="C34" s="192" t="inlineStr">
        <is>
          <t>Reason: Diagnostics matches</t>
        </is>
      </c>
      <c r="D34" s="194" t="inlineStr">
        <is>
          <t>(part of L3-06)</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Met","("&amp;2&amp;") "&amp;IF(H34="Yes","★ ","")&amp;C34,"")</f>
        <v/>
      </c>
    </row>
    <row r="35" ht="15.5" customHeight="1" s="125">
      <c r="A35" s="192" t="inlineStr">
        <is>
          <t>L3-06.3</t>
        </is>
      </c>
      <c r="B35" s="193" t="inlineStr">
        <is>
          <t>↳ sub-item</t>
        </is>
      </c>
      <c r="C35" s="192" t="inlineStr">
        <is>
          <t>Reason: Procedure matches</t>
        </is>
      </c>
      <c r="D35" s="194" t="inlineStr">
        <is>
          <t>(part of L3-06)</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Met","("&amp;3&amp;") "&amp;IF(H35="Yes","★ ","")&amp;C35,"")</f>
        <v/>
      </c>
    </row>
    <row r="36" ht="15.5" customHeight="1" s="125">
      <c r="A36" s="192" t="inlineStr">
        <is>
          <t>L3-06.4</t>
        </is>
      </c>
      <c r="B36" s="193" t="inlineStr">
        <is>
          <t>↳ sub-item</t>
        </is>
      </c>
      <c r="C36" s="192" t="inlineStr">
        <is>
          <t>Reason: Others matches</t>
        </is>
      </c>
      <c r="D36" s="194" t="inlineStr">
        <is>
          <t>(part of L3-06)</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7">
        <f>COUNTA(A38:A41)-COUNTIF(M38:M41,"N/A")</f>
        <v/>
      </c>
      <c r="L37" s="197">
        <f>COUNTIF(M38:M41,"Met")</f>
        <v/>
      </c>
      <c r="M37" s="197">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2" t="inlineStr">
        <is>
          <t>L3-07.1</t>
        </is>
      </c>
      <c r="B38" s="193" t="inlineStr">
        <is>
          <t>↳ sub-item</t>
        </is>
      </c>
      <c r="C38" s="192" t="inlineStr">
        <is>
          <t>Incoming from government facilities match</t>
        </is>
      </c>
      <c r="D38" s="194" t="inlineStr">
        <is>
          <t>(part of L3-07)</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15.5" customHeight="1" s="125">
      <c r="A39" s="192" t="inlineStr">
        <is>
          <t>L3-07.2</t>
        </is>
      </c>
      <c r="B39" s="193" t="inlineStr">
        <is>
          <t>↳ sub-item</t>
        </is>
      </c>
      <c r="C39" s="192" t="inlineStr">
        <is>
          <t>Incoming from private facilities match</t>
        </is>
      </c>
      <c r="D39" s="194" t="inlineStr">
        <is>
          <t>(part of L3-07)</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29" customHeight="1" s="125">
      <c r="A40" s="192" t="inlineStr">
        <is>
          <t>L3-07.3</t>
        </is>
      </c>
      <c r="B40" s="193" t="inlineStr">
        <is>
          <t>↳ sub-item</t>
        </is>
      </c>
      <c r="C40" s="192" t="inlineStr">
        <is>
          <t>Outgoing — government referring facility match</t>
        </is>
      </c>
      <c r="D40" s="194" t="inlineStr">
        <is>
          <t>(part of L3-07)</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29" customHeight="1" s="125">
      <c r="A41" s="192" t="inlineStr">
        <is>
          <t>L3-07.4</t>
        </is>
      </c>
      <c r="B41" s="193" t="inlineStr">
        <is>
          <t>↳ sub-item</t>
        </is>
      </c>
      <c r="C41" s="192" t="inlineStr">
        <is>
          <t>Outgoing — private referring facility match</t>
        </is>
      </c>
      <c r="D41" s="194" t="inlineStr">
        <is>
          <t>(part of L3-07)</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7">
        <f>COUNTA(A43:A47)-COUNTIF(M43:M47,"N/A")</f>
        <v/>
      </c>
      <c r="L42" s="197">
        <f>COUNTIF(M43:M47,"Met")</f>
        <v/>
      </c>
      <c r="M42" s="197">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2" t="inlineStr">
        <is>
          <t>L3-08.1</t>
        </is>
      </c>
      <c r="B43" s="193" t="inlineStr">
        <is>
          <t>↳ sub-item</t>
        </is>
      </c>
      <c r="C43" s="192" t="inlineStr">
        <is>
          <t>Receiving capability RHU matches</t>
        </is>
      </c>
      <c r="D43" s="194" t="inlineStr">
        <is>
          <t>(part of L3-08)</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Met","("&amp;1&amp;") "&amp;IF(H43="Yes","★ ","")&amp;C43,"")</f>
        <v/>
      </c>
    </row>
    <row r="44" ht="15.5" customHeight="1" s="125">
      <c r="A44" s="192" t="inlineStr">
        <is>
          <t>L3-08.2</t>
        </is>
      </c>
      <c r="B44" s="193" t="inlineStr">
        <is>
          <t>↳ sub-item</t>
        </is>
      </c>
      <c r="C44" s="192" t="inlineStr">
        <is>
          <t>Receiving capability Infirmary matches</t>
        </is>
      </c>
      <c r="D44" s="194" t="inlineStr">
        <is>
          <t>(part of L3-08)</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Met","("&amp;2&amp;") "&amp;IF(H44="Yes","★ ","")&amp;C44,"")</f>
        <v/>
      </c>
    </row>
    <row r="45" ht="15.5" customHeight="1" s="125">
      <c r="A45" s="192" t="inlineStr">
        <is>
          <t>L3-08.3</t>
        </is>
      </c>
      <c r="B45" s="193" t="inlineStr">
        <is>
          <t>↳ sub-item</t>
        </is>
      </c>
      <c r="C45" s="192" t="inlineStr">
        <is>
          <t>Receiving capability Level 1 matches</t>
        </is>
      </c>
      <c r="D45" s="194" t="inlineStr">
        <is>
          <t>(part of L3-08)</t>
        </is>
      </c>
      <c r="E45" s="195" t="n"/>
      <c r="F45" s="195" t="n"/>
      <c r="G45" s="195" t="n"/>
      <c r="H45" s="195" t="n"/>
      <c r="I45" s="195" t="n"/>
      <c r="J45" s="195" t="n"/>
      <c r="K45" s="195" t="n"/>
      <c r="L45" s="195" t="n"/>
      <c r="M45" s="196" t="inlineStr">
        <is>
          <t>Not Tested</t>
        </is>
      </c>
      <c r="N45" s="195" t="n"/>
      <c r="O45" s="192">
        <f>IF(M45="Not Met","Needs compliance",IF(M45="Not Tested","Not yet tested",""))</f>
        <v/>
      </c>
      <c r="P45" s="166" t="n"/>
      <c r="T45" s="124" t="inlineStr">
        <is>
          <t>Sub</t>
        </is>
      </c>
      <c r="U45" s="124">
        <f>IF(M45="Not Met","("&amp;3&amp;") "&amp;IF(H45="Yes","★ ","")&amp;C45,"")</f>
        <v/>
      </c>
    </row>
    <row r="46" ht="15.5" customHeight="1" s="125">
      <c r="A46" s="192" t="inlineStr">
        <is>
          <t>L3-08.4</t>
        </is>
      </c>
      <c r="B46" s="193" t="inlineStr">
        <is>
          <t>↳ sub-item</t>
        </is>
      </c>
      <c r="C46" s="192" t="inlineStr">
        <is>
          <t>Receiving capability Level 2 matches</t>
        </is>
      </c>
      <c r="D46" s="194" t="inlineStr">
        <is>
          <t>(part of L3-08)</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Met","("&amp;4&amp;") "&amp;IF(H46="Yes","★ ","")&amp;C46,"")</f>
        <v/>
      </c>
    </row>
    <row r="47" ht="15.5" customHeight="1" s="125">
      <c r="A47" s="192" t="inlineStr">
        <is>
          <t>L3-08.5</t>
        </is>
      </c>
      <c r="B47" s="193" t="inlineStr">
        <is>
          <t>↳ sub-item</t>
        </is>
      </c>
      <c r="C47" s="192" t="inlineStr">
        <is>
          <t>Receiving capability Level 3 matches</t>
        </is>
      </c>
      <c r="D47" s="194" t="inlineStr">
        <is>
          <t>(part of L3-08)</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7" t="n"/>
      <c r="L48" s="197" t="n"/>
      <c r="M48" s="197"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7" t="n"/>
      <c r="L49" s="197" t="n"/>
      <c r="M49" s="197"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7" t="n"/>
      <c r="L50" s="197" t="n"/>
      <c r="M50" s="197"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7" t="n"/>
      <c r="L51" s="197" t="n"/>
      <c r="M51" s="197"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7">
        <f>COUNTA(A53:A55)-COUNTIF(M53:M55,"N/A")</f>
        <v/>
      </c>
      <c r="L52" s="197">
        <f>COUNTIF(M53:M55,"Met")</f>
        <v/>
      </c>
      <c r="M52" s="197">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2" t="inlineStr">
        <is>
          <t>L3-13.1</t>
        </is>
      </c>
      <c r="B53" s="193" t="inlineStr">
        <is>
          <t>↳ sub-item</t>
        </is>
      </c>
      <c r="C53" s="192" t="inlineStr">
        <is>
          <t>Test referral #1 triggered an alert automatically</t>
        </is>
      </c>
      <c r="D53" s="194" t="inlineStr">
        <is>
          <t>(part of L3-13)</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Met","("&amp;1&amp;") "&amp;IF(H53="Yes","★ ","")&amp;C53,"")</f>
        <v/>
      </c>
    </row>
    <row r="54" ht="29" customHeight="1" s="125">
      <c r="A54" s="192" t="inlineStr">
        <is>
          <t>L3-13.2</t>
        </is>
      </c>
      <c r="B54" s="193" t="inlineStr">
        <is>
          <t>↳ sub-item</t>
        </is>
      </c>
      <c r="C54" s="192" t="inlineStr">
        <is>
          <t>Test referral #2 triggered an alert automatically</t>
        </is>
      </c>
      <c r="D54" s="194" t="inlineStr">
        <is>
          <t>(part of L3-13)</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Met","("&amp;2&amp;") "&amp;IF(H54="Yes","★ ","")&amp;C54,"")</f>
        <v/>
      </c>
    </row>
    <row r="55" ht="29" customHeight="1" s="125">
      <c r="A55" s="192" t="inlineStr">
        <is>
          <t>L3-13.3</t>
        </is>
      </c>
      <c r="B55" s="193" t="inlineStr">
        <is>
          <t>↳ sub-item</t>
        </is>
      </c>
      <c r="C55" s="192" t="inlineStr">
        <is>
          <t>Test referral #3 triggered an alert automatically</t>
        </is>
      </c>
      <c r="D55" s="194" t="inlineStr">
        <is>
          <t>(part of L3-13)</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7" t="n"/>
      <c r="L56" s="197" t="n"/>
      <c r="M56" s="197"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7">
        <f>COUNTA(A58:A61)-COUNTIF(M58:M61,"N/A")</f>
        <v/>
      </c>
      <c r="L57" s="197">
        <f>COUNTIF(M58:M61,"Met")</f>
        <v/>
      </c>
      <c r="M57" s="197">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L3-15.1</t>
        </is>
      </c>
      <c r="B58" s="193" t="inlineStr">
        <is>
          <t>↳ sub-item</t>
        </is>
      </c>
      <c r="C58" s="192" t="inlineStr">
        <is>
          <t>Sex</t>
        </is>
      </c>
      <c r="D58" s="194" t="inlineStr">
        <is>
          <t>(part of L3-15)</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15.5" customHeight="1" s="125">
      <c r="A59" s="192" t="inlineStr">
        <is>
          <t>L3-15.2</t>
        </is>
      </c>
      <c r="B59" s="193" t="inlineStr">
        <is>
          <t>↳ sub-item</t>
        </is>
      </c>
      <c r="C59" s="192" t="inlineStr">
        <is>
          <t>Age group</t>
        </is>
      </c>
      <c r="D59" s="194" t="inlineStr">
        <is>
          <t>(part of L3-15)</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L3-15.3</t>
        </is>
      </c>
      <c r="B60" s="193" t="inlineStr">
        <is>
          <t>↳ sub-item</t>
        </is>
      </c>
      <c r="C60" s="192" t="inlineStr">
        <is>
          <t>Municipality (PSGC)</t>
        </is>
      </c>
      <c r="D60" s="194" t="inlineStr">
        <is>
          <t>(part of L3-15)</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15.5" customHeight="1" s="125">
      <c r="A61" s="192" t="inlineStr">
        <is>
          <t>L3-15.4</t>
        </is>
      </c>
      <c r="B61" s="193" t="inlineStr">
        <is>
          <t>↳ sub-item</t>
        </is>
      </c>
      <c r="C61" s="192" t="inlineStr">
        <is>
          <t>Facility</t>
        </is>
      </c>
      <c r="D61" s="194" t="inlineStr">
        <is>
          <t>(part of L3-15)</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7">
        <f>COUNTA(A63:A66)-COUNTIF(M63:M66,"N/A")</f>
        <v/>
      </c>
      <c r="L62" s="197">
        <f>COUNTIF(M63:M66,"Met")</f>
        <v/>
      </c>
      <c r="M62" s="197">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2" t="inlineStr">
        <is>
          <t>L3-16.1</t>
        </is>
      </c>
      <c r="B63" s="193" t="inlineStr">
        <is>
          <t>↳ sub-item</t>
        </is>
      </c>
      <c r="C63" s="192" t="inlineStr">
        <is>
          <t>Rank 1 — J18.9 Pneumonia, unspecified organism matches</t>
        </is>
      </c>
      <c r="D63" s="194" t="inlineStr">
        <is>
          <t>(part of L3-16)</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L3-16.2</t>
        </is>
      </c>
      <c r="B64" s="193" t="inlineStr">
        <is>
          <t>↳ sub-item</t>
        </is>
      </c>
      <c r="C64" s="192" t="inlineStr">
        <is>
          <t>Rank 2 — O14.1 Severe pre-eclampsia matches</t>
        </is>
      </c>
      <c r="D64" s="194" t="inlineStr">
        <is>
          <t>(part of L3-16)</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9" customHeight="1" s="125">
      <c r="A65" s="192" t="inlineStr">
        <is>
          <t>L3-16.3</t>
        </is>
      </c>
      <c r="B65" s="193" t="inlineStr">
        <is>
          <t>↳ sub-item</t>
        </is>
      </c>
      <c r="C65" s="192" t="inlineStr">
        <is>
          <t>Rank 3 — I10 Essential (primary) hypertension matches</t>
        </is>
      </c>
      <c r="D65" s="194" t="inlineStr">
        <is>
          <t>(part of L3-16)</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29" customHeight="1" s="125">
      <c r="A66" s="192" t="inlineStr">
        <is>
          <t>L3-16.4</t>
        </is>
      </c>
      <c r="B66" s="193" t="inlineStr">
        <is>
          <t>↳ sub-item</t>
        </is>
      </c>
      <c r="C66" s="192" t="inlineStr">
        <is>
          <t>Rank 4 — A09 Infectious gastroenteritis and colitis matches</t>
        </is>
      </c>
      <c r="D66" s="194" t="inlineStr">
        <is>
          <t>(part of L3-16)</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2" t="inlineStr">
        <is>
          <t>L3-17.1</t>
        </is>
      </c>
      <c r="B68" s="193" t="inlineStr">
        <is>
          <t>↳ sub-item</t>
        </is>
      </c>
      <c r="C68" s="192" t="inlineStr">
        <is>
          <t>Referral C1 (23:50 last day of month, received after midnight) counted in the month referred</t>
        </is>
      </c>
      <c r="D68" s="194" t="inlineStr">
        <is>
          <t>(part of L3-17)</t>
        </is>
      </c>
      <c r="E68" s="195" t="n"/>
      <c r="F68" s="195" t="n"/>
      <c r="G68" s="195" t="n"/>
      <c r="H68" s="195" t="n"/>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L3-17.2</t>
        </is>
      </c>
      <c r="B69" s="193" t="inlineStr">
        <is>
          <t>↳ sub-item</t>
        </is>
      </c>
      <c r="C69" s="192" t="inlineStr">
        <is>
          <t>Section C month total matches the expected value</t>
        </is>
      </c>
      <c r="D69" s="194" t="inlineStr">
        <is>
          <t>(part of L3-17)</t>
        </is>
      </c>
      <c r="E69" s="195" t="n"/>
      <c r="F69" s="195" t="n"/>
      <c r="G69" s="195" t="n"/>
      <c r="H69" s="195" t="n"/>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L3-17.3</t>
        </is>
      </c>
      <c r="B70" s="193" t="inlineStr">
        <is>
          <t>↳ sub-item</t>
        </is>
      </c>
      <c r="C70" s="192" t="inlineStr">
        <is>
          <t>Following month shows only the referrals expected for it</t>
        </is>
      </c>
      <c r="D70" s="194" t="inlineStr">
        <is>
          <t>(part of L3-17)</t>
        </is>
      </c>
      <c r="E70" s="195" t="n"/>
      <c r="F70" s="195" t="n"/>
      <c r="G70" s="195" t="n"/>
      <c r="H70" s="195" t="n"/>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7">
        <f>COUNTA(A72:A73)-COUNTIF(M72:M73,"N/A")</f>
        <v/>
      </c>
      <c r="L71" s="197">
        <f>COUNTIF(M72:M73,"Met")</f>
        <v/>
      </c>
      <c r="M71" s="197">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2" t="inlineStr">
        <is>
          <t>L3-18.1</t>
        </is>
      </c>
      <c r="B72" s="193" t="inlineStr">
        <is>
          <t>↳ sub-item</t>
        </is>
      </c>
      <c r="C72" s="192" t="inlineStr">
        <is>
          <t>Duplicate C3 counted once (IND-02)</t>
        </is>
      </c>
      <c r="D72" s="194" t="inlineStr">
        <is>
          <t>(part of L3-18)</t>
        </is>
      </c>
      <c r="E72" s="195" t="n"/>
      <c r="F72" s="195" t="n"/>
      <c r="G72" s="195" t="n"/>
      <c r="H72" s="195" t="n"/>
      <c r="I72" s="195" t="n"/>
      <c r="J72" s="195" t="n"/>
      <c r="K72" s="195" t="n"/>
      <c r="L72" s="195" t="n"/>
      <c r="M72" s="196" t="inlineStr">
        <is>
          <t>Not Tested</t>
        </is>
      </c>
      <c r="N72" s="195" t="n"/>
      <c r="O72" s="192">
        <f>IF(M72="Not Met","Needs compliance",IF(M72="Not Tested","Not yet tested",""))</f>
        <v/>
      </c>
      <c r="P72" s="166" t="n"/>
      <c r="T72" s="124" t="inlineStr">
        <is>
          <t>Sub</t>
        </is>
      </c>
      <c r="U72" s="124">
        <f>IF(M72="Not Met","("&amp;1&amp;") "&amp;IF(H72="Yes","★ ","")&amp;C72,"")</f>
        <v/>
      </c>
    </row>
    <row r="73" ht="56" customHeight="1" s="125">
      <c r="A73" s="192" t="inlineStr">
        <is>
          <t>L3-18.2</t>
        </is>
      </c>
      <c r="B73" s="193" t="inlineStr">
        <is>
          <t>↳ sub-item</t>
        </is>
      </c>
      <c r="C73" s="192" t="inlineStr">
        <is>
          <t>Cancelled C4 excluded from active totals and shown as cancelled (IND-03; N/A if cancellation is not supported by the IG version)</t>
        </is>
      </c>
      <c r="D73" s="194" t="inlineStr">
        <is>
          <t>(part of L3-18)</t>
        </is>
      </c>
      <c r="E73" s="195" t="n"/>
      <c r="F73" s="195" t="n"/>
      <c r="G73" s="195" t="n"/>
      <c r="H73" s="195" t="n"/>
      <c r="I73" s="195" t="n"/>
      <c r="J73" s="195" t="n"/>
      <c r="K73" s="195" t="n"/>
      <c r="L73" s="195" t="n"/>
      <c r="M73" s="196" t="inlineStr">
        <is>
          <t>Not Tested</t>
        </is>
      </c>
      <c r="N73" s="195" t="n"/>
      <c r="O73" s="192">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7">
        <f>COUNTA(A75:A77)-COUNTIF(M75:M77,"N/A")</f>
        <v/>
      </c>
      <c r="L74" s="197">
        <f>COUNTIF(M75:M77,"Met")</f>
        <v/>
      </c>
      <c r="M74" s="197">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2" t="inlineStr">
        <is>
          <t>L3-19.1</t>
        </is>
      </c>
      <c r="B75" s="193" t="inlineStr">
        <is>
          <t>↳ sub-item</t>
        </is>
      </c>
      <c r="C75" s="192" t="inlineStr">
        <is>
          <t>Re-run shows the new status counts after the late updates</t>
        </is>
      </c>
      <c r="D75" s="194" t="inlineStr">
        <is>
          <t>(part of L3-19)</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Met","("&amp;1&amp;") "&amp;IF(H75="Yes","★ ","")&amp;C75,"")</f>
        <v/>
      </c>
    </row>
    <row r="76" ht="29" customHeight="1" s="125">
      <c r="A76" s="192" t="inlineStr">
        <is>
          <t>L3-19.2</t>
        </is>
      </c>
      <c r="B76" s="193" t="inlineStr">
        <is>
          <t>↳ sub-item</t>
        </is>
      </c>
      <c r="C76" s="192" t="inlineStr">
        <is>
          <t>TAT of C2 unchanged by the later status update (uses first 'received')</t>
        </is>
      </c>
      <c r="D76" s="194" t="inlineStr">
        <is>
          <t>(part of L3-19)</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Met","("&amp;2&amp;") "&amp;IF(H76="Yes","★ ","")&amp;C76,"")</f>
        <v/>
      </c>
    </row>
    <row r="77" ht="29" customHeight="1" s="125">
      <c r="A77" s="192" t="inlineStr">
        <is>
          <t>L3-19.3</t>
        </is>
      </c>
      <c r="B77" s="193" t="inlineStr">
        <is>
          <t>↳ sub-item</t>
        </is>
      </c>
      <c r="C77" s="192" t="inlineStr">
        <is>
          <t>Completed count includes C5 after the update</t>
        </is>
      </c>
      <c r="D77" s="194" t="inlineStr">
        <is>
          <t>(part of L3-19)</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7">
        <f>COUNTA(A79:A81)-COUNTIF(M79:M81,"N/A")</f>
        <v/>
      </c>
      <c r="L78" s="197">
        <f>COUNTIF(M79:M81,"Met")</f>
        <v/>
      </c>
      <c r="M78" s="197">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2" t="inlineStr">
        <is>
          <t>L3-20.1</t>
        </is>
      </c>
      <c r="B79" s="193" t="inlineStr">
        <is>
          <t>↳ sub-item</t>
        </is>
      </c>
      <c r="C79" s="192" t="inlineStr">
        <is>
          <t>Incoming + Private + Emergency matches</t>
        </is>
      </c>
      <c r="D79" s="194" t="inlineStr">
        <is>
          <t>(part of L3-20)</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Met","("&amp;1&amp;") "&amp;IF(H79="Yes","★ ","")&amp;C79,"")</f>
        <v/>
      </c>
    </row>
    <row r="80" ht="29" customHeight="1" s="125">
      <c r="A80" s="192" t="inlineStr">
        <is>
          <t>L3-20.2</t>
        </is>
      </c>
      <c r="B80" s="193" t="inlineStr">
        <is>
          <t>↳ sub-item</t>
        </is>
      </c>
      <c r="C80" s="192" t="inlineStr">
        <is>
          <t>Outgoing + Level 2 receiving capability + Consultation matches</t>
        </is>
      </c>
      <c r="D80" s="194" t="inlineStr">
        <is>
          <t>(part of L3-20)</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Met","("&amp;2&amp;") "&amp;IF(H80="Yes","★ ","")&amp;C80,"")</f>
        <v/>
      </c>
    </row>
    <row r="81" ht="15.5" customHeight="1" s="125">
      <c r="A81" s="192" t="inlineStr">
        <is>
          <t>L3-20.3</t>
        </is>
      </c>
      <c r="B81" s="193" t="inlineStr">
        <is>
          <t>↳ sub-item</t>
        </is>
      </c>
      <c r="C81" s="192" t="inlineStr">
        <is>
          <t>Reporting month + one facility matches</t>
        </is>
      </c>
      <c r="D81" s="194" t="inlineStr">
        <is>
          <t>(part of L3-20)</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7" t="n"/>
      <c r="L82" s="197" t="n"/>
      <c r="M82" s="197"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2" t="inlineStr">
        <is>
          <t>L4-02.1</t>
        </is>
      </c>
      <c r="B12" s="193" t="inlineStr">
        <is>
          <t>↳ sub-item</t>
        </is>
      </c>
      <c r="C12" s="192" t="inlineStr">
        <is>
          <t>Final diagnosis / outcome</t>
        </is>
      </c>
      <c r="D12" s="194" t="inlineStr">
        <is>
          <t>(part of L4-02)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L4-02.2</t>
        </is>
      </c>
      <c r="B13" s="193" t="inlineStr">
        <is>
          <t>↳ sub-item</t>
        </is>
      </c>
      <c r="C13" s="192" t="inlineStr">
        <is>
          <t>Treatment given</t>
        </is>
      </c>
      <c r="D13" s="194" t="inlineStr">
        <is>
          <t>(part of L4-02)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L4-02.3</t>
        </is>
      </c>
      <c r="B14" s="193" t="inlineStr">
        <is>
          <t>↳ sub-item</t>
        </is>
      </c>
      <c r="C14" s="192" t="inlineStr">
        <is>
          <t>Follow-up instructions / recommendations</t>
        </is>
      </c>
      <c r="D14" s="194" t="inlineStr">
        <is>
          <t>(part of L4-02)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2" t="inlineStr">
        <is>
          <t>L4-03.1</t>
        </is>
      </c>
      <c r="B16" s="193" t="inlineStr">
        <is>
          <t>↳ sub-item</t>
        </is>
      </c>
      <c r="C16" s="192" t="inlineStr">
        <is>
          <t>Patient full name — pre-filled from the EMR record</t>
        </is>
      </c>
      <c r="D16" s="194" t="inlineStr">
        <is>
          <t>(part of L4-03)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29" customHeight="1" s="125">
      <c r="A17" s="192" t="inlineStr">
        <is>
          <t>L4-03.2</t>
        </is>
      </c>
      <c r="B17" s="193" t="inlineStr">
        <is>
          <t>↳ sub-item</t>
        </is>
      </c>
      <c r="C17" s="192" t="inlineStr">
        <is>
          <t>Birth date — pre-filled from the EMR record</t>
        </is>
      </c>
      <c r="D17" s="194" t="inlineStr">
        <is>
          <t>(part of L4-03)</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15.5" customHeight="1" s="125">
      <c r="A18" s="192" t="inlineStr">
        <is>
          <t>L4-03.3</t>
        </is>
      </c>
      <c r="B18" s="193" t="inlineStr">
        <is>
          <t>↳ sub-item</t>
        </is>
      </c>
      <c r="C18" s="192" t="inlineStr">
        <is>
          <t>Sex — pre-filled from the EMR record</t>
        </is>
      </c>
      <c r="D18" s="194" t="inlineStr">
        <is>
          <t>(part of L4-03)</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L4-03.4</t>
        </is>
      </c>
      <c r="B19" s="193" t="inlineStr">
        <is>
          <t>↳ sub-item</t>
        </is>
      </c>
      <c r="C19" s="192" t="inlineStr">
        <is>
          <t>PhilSys number — pre-filled from the EMR record</t>
        </is>
      </c>
      <c r="D19" s="194" t="inlineStr">
        <is>
          <t>(part of L4-03)</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29" customHeight="1" s="125">
      <c r="A20" s="192" t="inlineStr">
        <is>
          <t>L4-03.5</t>
        </is>
      </c>
      <c r="B20" s="193" t="inlineStr">
        <is>
          <t>↳ sub-item</t>
        </is>
      </c>
      <c r="C20" s="192" t="inlineStr">
        <is>
          <t>PhilHealth ID — pre-filled from the EMR record</t>
        </is>
      </c>
      <c r="D20" s="194" t="inlineStr">
        <is>
          <t>(part of L4-03)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29" customHeight="1" s="125">
      <c r="A21" s="192" t="inlineStr">
        <is>
          <t>L4-03.6</t>
        </is>
      </c>
      <c r="B21" s="193" t="inlineStr">
        <is>
          <t>↳ sub-item</t>
        </is>
      </c>
      <c r="C21" s="192" t="inlineStr">
        <is>
          <t>Patient address — pre-filled from the EMR record</t>
        </is>
      </c>
      <c r="D21" s="194" t="inlineStr">
        <is>
          <t>(part of L4-03)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Met","("&amp;6&amp;") "&amp;IF(H21="Yes","★ ","")&amp;C21,"")</f>
        <v/>
      </c>
    </row>
    <row r="22" ht="29" customHeight="1" s="125">
      <c r="A22" s="192" t="inlineStr">
        <is>
          <t>L4-03.7</t>
        </is>
      </c>
      <c r="B22" s="193" t="inlineStr">
        <is>
          <t>↳ sub-item</t>
        </is>
      </c>
      <c r="C22" s="192" t="inlineStr">
        <is>
          <t>Contact number — pre-filled from the EMR record</t>
        </is>
      </c>
      <c r="D22" s="194" t="inlineStr">
        <is>
          <t>(part of L4-03)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Met","("&amp;7&amp;") "&amp;IF(H22="Yes","★ ","")&amp;C22,"")</f>
        <v/>
      </c>
    </row>
    <row r="23" ht="29" customHeight="1" s="125">
      <c r="A23" s="192" t="inlineStr">
        <is>
          <t>L4-03.8</t>
        </is>
      </c>
      <c r="B23" s="193" t="inlineStr">
        <is>
          <t>↳ sub-item</t>
        </is>
      </c>
      <c r="C23" s="192" t="inlineStr">
        <is>
          <t>Chief complaint — pre-filled from the EMR record</t>
        </is>
      </c>
      <c r="D23" s="194" t="inlineStr">
        <is>
          <t>(part of L4-03)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Met","("&amp;8&amp;") "&amp;IF(H23="Yes","★ ","")&amp;C23,"")</f>
        <v/>
      </c>
    </row>
    <row r="24" ht="29" customHeight="1" s="125">
      <c r="A24" s="192" t="inlineStr">
        <is>
          <t>L4-03.9</t>
        </is>
      </c>
      <c r="B24" s="193" t="inlineStr">
        <is>
          <t>↳ sub-item</t>
        </is>
      </c>
      <c r="C24" s="192" t="inlineStr">
        <is>
          <t>Working impression — pre-filled from the EMR record</t>
        </is>
      </c>
      <c r="D24" s="194" t="inlineStr">
        <is>
          <t>(part of L4-03)</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Met","("&amp;9&amp;") "&amp;IF(H24="Yes","★ ","")&amp;C24,"")</f>
        <v/>
      </c>
    </row>
    <row r="25" ht="29" customHeight="1" s="125">
      <c r="A25" s="192" t="inlineStr">
        <is>
          <t>L4-03.10</t>
        </is>
      </c>
      <c r="B25" s="193" t="inlineStr">
        <is>
          <t>↳ sub-item</t>
        </is>
      </c>
      <c r="C25" s="192" t="inlineStr">
        <is>
          <t>Blood pressure — pre-filled from the EMR record</t>
        </is>
      </c>
      <c r="D25" s="194" t="inlineStr">
        <is>
          <t>(part of L4-03)</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2" t="inlineStr">
        <is>
          <t>L4-04.1</t>
        </is>
      </c>
      <c r="B27" s="193" t="inlineStr">
        <is>
          <t>↳ sub-item</t>
        </is>
      </c>
      <c r="C27" s="192" t="inlineStr">
        <is>
          <t>Patient full name — imported without re-typing</t>
        </is>
      </c>
      <c r="D27" s="194" t="inlineStr">
        <is>
          <t>(part of L4-04)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15.5" customHeight="1" s="125">
      <c r="A28" s="192" t="inlineStr">
        <is>
          <t>L4-04.2</t>
        </is>
      </c>
      <c r="B28" s="193" t="inlineStr">
        <is>
          <t>↳ sub-item</t>
        </is>
      </c>
      <c r="C28" s="192" t="inlineStr">
        <is>
          <t>Birth date — imported without re-typing</t>
        </is>
      </c>
      <c r="D28" s="194" t="inlineStr">
        <is>
          <t>(part of L4-04)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15.5" customHeight="1" s="125">
      <c r="A29" s="192" t="inlineStr">
        <is>
          <t>L4-04.3</t>
        </is>
      </c>
      <c r="B29" s="193" t="inlineStr">
        <is>
          <t>↳ sub-item</t>
        </is>
      </c>
      <c r="C29" s="192" t="inlineStr">
        <is>
          <t>Sex — imported without re-typing</t>
        </is>
      </c>
      <c r="D29" s="194" t="inlineStr">
        <is>
          <t>(part of L4-04)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29" customHeight="1" s="125">
      <c r="A30" s="192" t="inlineStr">
        <is>
          <t>L4-04.4</t>
        </is>
      </c>
      <c r="B30" s="193" t="inlineStr">
        <is>
          <t>↳ sub-item</t>
        </is>
      </c>
      <c r="C30" s="192" t="inlineStr">
        <is>
          <t>PhilSys number — imported without re-typing</t>
        </is>
      </c>
      <c r="D30" s="194" t="inlineStr">
        <is>
          <t>(part of L4-04)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Met","("&amp;4&amp;") "&amp;IF(H30="Yes","★ ","")&amp;C30,"")</f>
        <v/>
      </c>
    </row>
    <row r="31" ht="29" customHeight="1" s="125">
      <c r="A31" s="192" t="inlineStr">
        <is>
          <t>L4-04.5</t>
        </is>
      </c>
      <c r="B31" s="193" t="inlineStr">
        <is>
          <t>↳ sub-item</t>
        </is>
      </c>
      <c r="C31" s="192" t="inlineStr">
        <is>
          <t>PhilHealth ID — imported without re-typing</t>
        </is>
      </c>
      <c r="D31" s="194" t="inlineStr">
        <is>
          <t>(part of L4-04)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Met","("&amp;5&amp;") "&amp;IF(H31="Yes","★ ","")&amp;C31,"")</f>
        <v/>
      </c>
    </row>
    <row r="32" ht="29" customHeight="1" s="125">
      <c r="A32" s="192" t="inlineStr">
        <is>
          <t>L4-04.6</t>
        </is>
      </c>
      <c r="B32" s="193" t="inlineStr">
        <is>
          <t>↳ sub-item</t>
        </is>
      </c>
      <c r="C32" s="192" t="inlineStr">
        <is>
          <t>Patient address — imported without re-typing</t>
        </is>
      </c>
      <c r="D32" s="194" t="inlineStr">
        <is>
          <t>(part of L4-04)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Met","("&amp;6&amp;") "&amp;IF(H32="Yes","★ ","")&amp;C32,"")</f>
        <v/>
      </c>
    </row>
    <row r="33" ht="29" customHeight="1" s="125">
      <c r="A33" s="192" t="inlineStr">
        <is>
          <t>L4-04.7</t>
        </is>
      </c>
      <c r="B33" s="193" t="inlineStr">
        <is>
          <t>↳ sub-item</t>
        </is>
      </c>
      <c r="C33" s="192" t="inlineStr">
        <is>
          <t>Contact number — imported without re-typing</t>
        </is>
      </c>
      <c r="D33" s="194" t="inlineStr">
        <is>
          <t>(part of L4-04)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Met","("&amp;7&amp;") "&amp;IF(H33="Yes","★ ","")&amp;C33,"")</f>
        <v/>
      </c>
    </row>
    <row r="34" ht="29" customHeight="1" s="125">
      <c r="A34" s="192" t="inlineStr">
        <is>
          <t>L4-04.8</t>
        </is>
      </c>
      <c r="B34" s="193" t="inlineStr">
        <is>
          <t>↳ sub-item</t>
        </is>
      </c>
      <c r="C34" s="192" t="inlineStr">
        <is>
          <t>Chief complaint — imported without re-typing</t>
        </is>
      </c>
      <c r="D34" s="194" t="inlineStr">
        <is>
          <t>(part of L4-04)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Met","("&amp;8&amp;") "&amp;IF(H34="Yes","★ ","")&amp;C34,"")</f>
        <v/>
      </c>
    </row>
    <row r="35" ht="29" customHeight="1" s="125">
      <c r="A35" s="192" t="inlineStr">
        <is>
          <t>L4-04.9</t>
        </is>
      </c>
      <c r="B35" s="193" t="inlineStr">
        <is>
          <t>↳ sub-item</t>
        </is>
      </c>
      <c r="C35" s="192" t="inlineStr">
        <is>
          <t>Working impression — imported without re-typing</t>
        </is>
      </c>
      <c r="D35" s="194" t="inlineStr">
        <is>
          <t>(part of L4-04)</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Met","("&amp;9&amp;") "&amp;IF(H35="Yes","★ ","")&amp;C35,"")</f>
        <v/>
      </c>
    </row>
    <row r="36" ht="29" customHeight="1" s="125">
      <c r="A36" s="192" t="inlineStr">
        <is>
          <t>L4-04.10</t>
        </is>
      </c>
      <c r="B36" s="193" t="inlineStr">
        <is>
          <t>↳ sub-item</t>
        </is>
      </c>
      <c r="C36" s="192" t="inlineStr">
        <is>
          <t>Blood pressure — imported without re-typing</t>
        </is>
      </c>
      <c r="D36" s="194" t="inlineStr">
        <is>
          <t>(part of L4-04)</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073e132 · built 2026-10-15 03:13 UTC&amp;R&amp;8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UPPER(IF('System Profile'!C33="","[DOH OFFICE / REGION]",'System Profile'!C33))</f>
        <v/>
      </c>
    </row>
    <row r="4" ht="13.5" customHeight="1" s="125">
      <c r="A4" s="199" t="n"/>
    </row>
    <row r="5" ht="6" customHeight="1" s="125"/>
    <row r="6" ht="15.75" customHeight="1" s="125">
      <c r="A6" s="201" t="inlineStr">
        <is>
          <t>HIE SYSTEM VALIDATION TESTING CRITERIA</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HIE System Validation Testing Criteria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UPPER(IF('System Profile'!C33="","[DOH OFFICE / REGION]",'System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UPPER(IF('System Profile'!C33="","[DOH OFFICE / REGION]",'System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UPPER(IF('System Profile'!C33="","[DOH OFFICE / REGION]",'System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differentOddEven="0" differentFirst="0">
    <oddHeader/>
    <oddFooter>&amp;L&amp;8 Version v1.0.0-rc1+dev · branch main · commit 073e132 · built 2026-10-15 03:13 UTC&amp;C&amp;"Arial,Regular"&amp;7 HIE System Validation Testing Criteria — Printed Evaluation Report&amp;R&amp;8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2026-10-15T03:13:52Z</dcterms:modified>
  <cp:lastModifiedBy>Joemar Pelegrino</cp:lastModifiedBy>
  <cp:revision>0</cp:revision>
  <cp:lastPrinted>2026-09-30T17:03:59Z</cp:lastPrinted>
</cp:coreProperties>
</file>