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4" autoFilterDateGrouping="1"/>
  </bookViews>
  <sheets>
    <sheet xmlns:r="http://schemas.openxmlformats.org/officeDocument/2006/relationships" name="Instructions" sheetId="1" state="visible" r:id="rId1"/>
    <sheet xmlns:r="http://schemas.openxmlformats.org/officeDocument/2006/relationships" name="Summary" sheetId="2" state="visible" r:id="rId2"/>
    <sheet xmlns:r="http://schemas.openxmlformats.org/officeDocument/2006/relationships" name="System Profile" sheetId="3" state="visible" r:id="rId3"/>
    <sheet xmlns:r="http://schemas.openxmlformats.org/officeDocument/2006/relationships" name="Test Data" sheetId="4" state="visible" r:id="rId4"/>
    <sheet xmlns:r="http://schemas.openxmlformats.org/officeDocument/2006/relationships" name="L0 Application" sheetId="5" state="visible" r:id="rId5"/>
    <sheet xmlns:r="http://schemas.openxmlformats.org/officeDocument/2006/relationships" name="L1 Documentation" sheetId="6" state="visible" r:id="rId6"/>
    <sheet xmlns:r="http://schemas.openxmlformats.org/officeDocument/2006/relationships" name="L2-A TS0-Terminology" sheetId="7" state="visible" r:id="rId7"/>
    <sheet xmlns:r="http://schemas.openxmlformats.org/officeDocument/2006/relationships" name="L2-B TS1-Submission" sheetId="8" state="visible" r:id="rId8"/>
    <sheet xmlns:r="http://schemas.openxmlformats.org/officeDocument/2006/relationships" name="L2-C TS2-Retrieval" sheetId="9" state="visible" r:id="rId9"/>
    <sheet xmlns:r="http://schemas.openxmlformats.org/officeDocument/2006/relationships" name="L2-D System Resilience" sheetId="10" state="visible" r:id="rId10"/>
    <sheet xmlns:r="http://schemas.openxmlformats.org/officeDocument/2006/relationships" name="L3 Reports" sheetId="11" state="visible" r:id="rId11"/>
    <sheet xmlns:r="http://schemas.openxmlformats.org/officeDocument/2006/relationships" name="L4 Advanced" sheetId="12" state="visible" r:id="rId12"/>
    <sheet xmlns:r="http://schemas.openxmlformats.org/officeDocument/2006/relationships" name="Printed Evaluation Report" sheetId="13" state="visible" r:id="rId13"/>
  </sheets>
  <definedNames>
    <definedName name="_xlnm._FilterDatabase" localSheetId="4" hidden="1">'L0 Application'!$A$9:$P$21</definedName>
    <definedName name="_xlnm.Print_Titles" localSheetId="4">'L0 Application'!$9:$9</definedName>
    <definedName name="_xlnm.Print_Area" localSheetId="4">'L0 Application'!$A$1:$P$21</definedName>
    <definedName name="_xlnm._FilterDatabase" localSheetId="5" hidden="1">'L1 Documentation'!$A$9:$P$27</definedName>
    <definedName name="_xlnm.Print_Titles" localSheetId="5">'L1 Documentation'!$9:$9</definedName>
    <definedName name="_xlnm.Print_Area" localSheetId="5">'L1 Documentation'!$A$1:$P$27</definedName>
    <definedName name="_xlnm._FilterDatabase" localSheetId="6" hidden="1">'L2-A TS0-Terminology'!$A$9:$P$37</definedName>
    <definedName name="_xlnm.Print_Titles" localSheetId="6">'L2-A TS0-Terminology'!$9:$9</definedName>
    <definedName name="_xlnm.Print_Area" localSheetId="6">'L2-A TS0-Terminology'!$A$1:$P$37</definedName>
    <definedName name="_xlnm._FilterDatabase" localSheetId="7" hidden="1">'L2-B TS1-Submission'!$A$9:$P$87</definedName>
    <definedName name="_xlnm.Print_Titles" localSheetId="7">'L2-B TS1-Submission'!$9:$9</definedName>
    <definedName name="_xlnm.Print_Area" localSheetId="7">'L2-B TS1-Submission'!$A$1:$P$87</definedName>
    <definedName name="_xlnm._FilterDatabase" localSheetId="8" hidden="1">'L2-C TS2-Retrieval'!$A$9:$P$72</definedName>
    <definedName name="_xlnm.Print_Titles" localSheetId="8">'L2-C TS2-Retrieval'!$9:$9</definedName>
    <definedName name="_xlnm.Print_Area" localSheetId="8">'L2-C TS2-Retrieval'!$A$1:$P$72</definedName>
    <definedName name="_xlnm._FilterDatabase" localSheetId="9" hidden="1">'L2-D System Resilience'!$A$9:$P$82</definedName>
    <definedName name="_xlnm.Print_Titles" localSheetId="9">'L2-D System Resilience'!$9:$9</definedName>
    <definedName name="_xlnm.Print_Area" localSheetId="9">'L2-D System Resilience'!$A$1:$P$82</definedName>
    <definedName name="_xlnm._FilterDatabase" localSheetId="10" hidden="1">'L3 Reports'!$A$9:$P$82</definedName>
    <definedName name="_xlnm.Print_Titles" localSheetId="10">'L3 Reports'!$9:$9</definedName>
    <definedName name="_xlnm.Print_Area" localSheetId="10">'L3 Reports'!$A$1:$P$82</definedName>
    <definedName name="_xlnm._FilterDatabase" localSheetId="11" hidden="1">'L4 Advanced'!$A$9:$P$39</definedName>
    <definedName name="_xlnm.Print_Titles" localSheetId="11">'L4 Advanced'!$9:$9</definedName>
    <definedName name="_xlnm.Print_Area" localSheetId="11">'L4 Advanced'!$A$1:$P$39</definedName>
    <definedName name="_xlnm.Print_Titles" localSheetId="12">'Printed Evaluation Report'!$124:$132</definedName>
    <definedName name="_xlnm.Print_Area" localSheetId="12">'Printed Evaluation Report'!$A$1:$F$626</definedName>
  </definedNames>
  <calcPr calcId="124519" fullCalcOnLoad="1" refMode="A1" iterate="0" iterateCount="100" iterateDelta="0.0001"/>
</workbook>
</file>

<file path=xl/styles.xml><?xml version="1.0" encoding="utf-8"?>
<styleSheet xmlns="http://schemas.openxmlformats.org/spreadsheetml/2006/main">
  <numFmts count="5">
    <numFmt numFmtId="164" formatCode="0.0%"/>
    <numFmt numFmtId="165" formatCode="dd\ mmm\ yyyy"/>
    <numFmt numFmtId="166" formatCode="yyyy\-mm\-dd\ hh:mm"/>
    <numFmt numFmtId="167" formatCode="0.0"/>
    <numFmt numFmtId="168" formatCode="mmm\ yyyy"/>
  </numFmts>
  <fonts count="43">
    <font>
      <name val="Calibri"/>
      <charset val="1"/>
      <family val="2"/>
      <color theme="1"/>
      <sz val="11"/>
    </font>
    <font>
      <name val="Arial"/>
      <family val="0"/>
      <sz val="10"/>
    </font>
    <font>
      <name val="Arial"/>
      <family val="0"/>
      <sz val="10"/>
    </font>
    <font>
      <name val="Arial"/>
      <family val="0"/>
      <sz val="10"/>
    </font>
    <font>
      <name val="Arial"/>
      <charset val="1"/>
      <family val="2"/>
      <b val="1"/>
      <color rgb="FF1F3864"/>
      <sz val="16"/>
    </font>
    <font>
      <name val="Arial"/>
      <charset val="1"/>
      <family val="2"/>
      <b val="1"/>
      <color rgb="FF2E75B6"/>
      <sz val="11"/>
    </font>
    <font>
      <name val="Arial"/>
      <charset val="1"/>
      <family val="2"/>
      <i val="1"/>
      <color rgb="FFC00000"/>
      <sz val="10"/>
    </font>
    <font>
      <name val="Arial"/>
      <charset val="1"/>
      <family val="2"/>
      <color rgb="FF000000"/>
      <sz val="10"/>
    </font>
    <font>
      <name val="Arial"/>
      <charset val="1"/>
      <family val="2"/>
      <b val="1"/>
      <color rgb="FFFFFFFF"/>
      <sz val="11"/>
    </font>
    <font>
      <name val="Arial"/>
      <charset val="1"/>
      <family val="2"/>
      <b val="1"/>
      <color rgb="FF000000"/>
      <sz val="10"/>
    </font>
    <font>
      <name val="Arial"/>
      <charset val="1"/>
      <family val="0"/>
      <b val="1"/>
      <color rgb="FFC00000"/>
      <sz val="10"/>
    </font>
    <font>
      <name val="Arial"/>
      <charset val="1"/>
      <family val="2"/>
      <b val="1"/>
      <color rgb="FFFFFFFF"/>
      <sz val="10"/>
    </font>
    <font>
      <name val="Arial"/>
      <charset val="1"/>
      <family val="2"/>
      <color rgb="FF0000FF"/>
      <sz val="11"/>
    </font>
    <font>
      <name val="Arial"/>
      <charset val="1"/>
      <family val="2"/>
      <b val="1"/>
      <color rgb="FFFFFFFF"/>
      <sz val="12"/>
    </font>
    <font>
      <name val="Arial"/>
      <charset val="1"/>
      <family val="2"/>
      <b val="1"/>
      <color rgb="FF1F3864"/>
      <sz val="14"/>
    </font>
    <font>
      <name val="Arial"/>
      <charset val="1"/>
      <family val="2"/>
      <b val="1"/>
      <color rgb="FF1F3864"/>
      <sz val="10"/>
    </font>
    <font>
      <name val="Arial"/>
      <charset val="1"/>
      <family val="0"/>
      <i val="1"/>
      <color rgb="FF000000"/>
      <sz val="9"/>
    </font>
    <font>
      <name val="Arial"/>
      <charset val="1"/>
      <family val="0"/>
      <b val="1"/>
      <color rgb="FF000000"/>
      <sz val="10"/>
    </font>
    <font>
      <name val="Arial"/>
      <charset val="1"/>
      <family val="0"/>
      <color rgb="FF000000"/>
      <sz val="10"/>
    </font>
    <font>
      <name val="Arial"/>
      <charset val="1"/>
      <family val="0"/>
      <b val="1"/>
      <color rgb="FFC00000"/>
      <sz val="9"/>
    </font>
    <font>
      <name val="Arial"/>
      <charset val="1"/>
      <family val="0"/>
      <b val="1"/>
      <color rgb="FFFFFFFF"/>
      <sz val="10"/>
    </font>
    <font>
      <name val="Arial"/>
      <charset val="1"/>
      <family val="2"/>
      <i val="1"/>
      <color rgb="FF000000"/>
      <sz val="10"/>
    </font>
    <font>
      <name val="Arial"/>
      <charset val="1"/>
      <family val="2"/>
      <b val="1"/>
      <color rgb="FF000000"/>
      <sz val="11"/>
    </font>
    <font>
      <name val="Arial"/>
      <charset val="1"/>
      <family val="2"/>
      <i val="1"/>
      <color rgb="FF000000"/>
      <sz val="9"/>
    </font>
    <font>
      <name val="Arial"/>
      <charset val="1"/>
      <family val="2"/>
      <b val="1"/>
      <color rgb="FFC00000"/>
      <sz val="10"/>
    </font>
    <font>
      <name val="Arial"/>
      <charset val="1"/>
      <family val="2"/>
      <color rgb="FF000000"/>
      <sz val="9"/>
    </font>
    <font>
      <name val="Arial"/>
      <charset val="1"/>
      <family val="2"/>
      <color rgb="FF808080"/>
      <sz val="8"/>
    </font>
    <font>
      <name val="Times New Roman"/>
      <charset val="1"/>
      <family val="1"/>
      <sz val="11"/>
    </font>
    <font>
      <name val="Times New Roman"/>
      <charset val="1"/>
      <family val="1"/>
      <sz val="12"/>
    </font>
    <font>
      <name val="Times New Roman"/>
      <charset val="1"/>
      <family val="1"/>
      <b val="1"/>
      <sz val="12"/>
    </font>
    <font>
      <name val="Times New Roman"/>
      <charset val="1"/>
      <family val="1"/>
      <b val="1"/>
      <color rgb="FF000000"/>
      <sz val="14"/>
    </font>
    <font>
      <name val="Arial"/>
      <charset val="1"/>
      <family val="2"/>
      <b val="1"/>
      <color rgb="FF000000"/>
      <sz val="9"/>
    </font>
    <font>
      <name val="Arial"/>
      <charset val="1"/>
      <family val="2"/>
      <color rgb="FF000000"/>
      <sz val="8"/>
    </font>
    <font>
      <name val="Arial"/>
      <charset val="1"/>
      <family val="2"/>
      <b val="1"/>
      <color rgb="FF000000"/>
      <sz val="7.5"/>
    </font>
    <font>
      <name val="Arial"/>
      <charset val="1"/>
      <family val="2"/>
      <color rgb="FF000000"/>
      <sz val="8.5"/>
    </font>
    <font>
      <name val="Arial"/>
      <charset val="1"/>
      <family val="2"/>
      <b val="1"/>
      <color rgb="FF000000"/>
      <sz val="8"/>
    </font>
    <font>
      <name val="Arial"/>
      <charset val="1"/>
      <family val="2"/>
      <b val="1"/>
      <color rgb="FF000000"/>
      <sz val="8.5"/>
    </font>
    <font>
      <name val="Arial"/>
      <charset val="1"/>
      <family val="2"/>
      <color rgb="FF000000"/>
      <sz val="7.5"/>
    </font>
    <font>
      <name val="Arial"/>
      <charset val="1"/>
      <family val="2"/>
      <i val="1"/>
      <color rgb="FF404040"/>
      <sz val="7"/>
    </font>
    <font>
      <name val="Arial"/>
      <charset val="1"/>
      <family val="0"/>
      <b val="1"/>
      <sz val="8"/>
    </font>
    <font>
      <name val="Arial"/>
      <charset val="1"/>
      <family val="2"/>
      <color rgb="FF404040"/>
      <sz val="8.5"/>
    </font>
    <font>
      <name val="Arial"/>
      <charset val="1"/>
      <family val="2"/>
      <b val="1"/>
      <color rgb="FFFFFFFF"/>
      <sz val="9"/>
    </font>
    <font>
      <name val="Arial"/>
      <charset val="1"/>
      <family val="2"/>
      <color rgb="FF404040"/>
      <sz val="7.5"/>
    </font>
  </fonts>
  <fills count="14">
    <fill>
      <patternFill/>
    </fill>
    <fill>
      <patternFill patternType="gray125"/>
    </fill>
    <fill>
      <patternFill patternType="solid">
        <fgColor rgb="FF1F3864"/>
        <bgColor rgb="FF333399"/>
      </patternFill>
    </fill>
    <fill>
      <patternFill patternType="solid">
        <fgColor rgb="FFFFF2CC"/>
        <bgColor rgb="FFFCE4D6"/>
      </patternFill>
    </fill>
    <fill>
      <patternFill patternType="solid">
        <fgColor rgb="FFF2F2F2"/>
        <bgColor rgb="FFF7F7F7"/>
      </patternFill>
    </fill>
    <fill>
      <patternFill patternType="solid">
        <fgColor rgb="FF2E75B6"/>
        <bgColor rgb="FF0066CC"/>
      </patternFill>
    </fill>
    <fill>
      <patternFill patternType="solid">
        <fgColor rgb="FFDDEBF7"/>
        <bgColor rgb="FFE2EFDA"/>
      </patternFill>
    </fill>
    <fill>
      <patternFill patternType="solid">
        <fgColor rgb="FF7F7F7F"/>
        <bgColor rgb="FF808080"/>
      </patternFill>
    </fill>
    <fill>
      <patternFill patternType="solid">
        <fgColor rgb="FFFCE4D6"/>
        <bgColor rgb="FFFFF2CC"/>
      </patternFill>
    </fill>
    <fill>
      <patternFill patternType="solid">
        <fgColor rgb="FFE2EFDA"/>
        <bgColor rgb="FFDDEBF7"/>
      </patternFill>
    </fill>
    <fill>
      <patternFill patternType="solid">
        <fgColor rgb="FFF7F9FC"/>
        <bgColor rgb="FFF7F7F7"/>
      </patternFill>
    </fill>
    <fill>
      <patternFill patternType="solid">
        <fgColor rgb="FFD9D9D9"/>
        <bgColor rgb="FFDDEBF7"/>
      </patternFill>
    </fill>
    <fill>
      <patternFill patternType="solid">
        <fgColor rgb="FF404040"/>
        <bgColor rgb="FF1F3864"/>
      </patternFill>
    </fill>
    <fill>
      <patternFill patternType="solid">
        <fgColor rgb="FFF7F7F7"/>
        <bgColor rgb="FFF7F9FC"/>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right style="thin"/>
      <top style="thin"/>
      <bottom style="thin"/>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4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general" vertical="top" wrapText="1"/>
    </xf>
    <xf numFmtId="0" fontId="4"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2" borderId="1" applyAlignment="1" pivotButton="0" quotePrefix="0" xfId="0">
      <alignment horizontal="center" vertical="top" wrapText="1"/>
    </xf>
    <xf numFmtId="0" fontId="9" fillId="0" borderId="1" applyAlignment="1" pivotButton="0" quotePrefix="0" xfId="0">
      <alignment horizontal="general" vertical="bottom"/>
    </xf>
    <xf numFmtId="164" fontId="0" fillId="0" borderId="1" applyAlignment="1" pivotButton="0" quotePrefix="0" xfId="0">
      <alignment horizontal="center" vertical="center"/>
    </xf>
    <xf numFmtId="164" fontId="12" fillId="3" borderId="1" applyAlignment="1" pivotButton="0" quotePrefix="0" xfId="0">
      <alignment horizontal="center" vertical="center"/>
    </xf>
    <xf numFmtId="0" fontId="0" fillId="0" borderId="1" applyAlignment="1" pivotButton="0" quotePrefix="0" xfId="0">
      <alignment horizontal="center" vertical="center"/>
    </xf>
    <xf numFmtId="9" fontId="0" fillId="0" borderId="1" applyAlignment="1" pivotButton="0" quotePrefix="0" xfId="0">
      <alignment horizontal="center" vertical="center"/>
    </xf>
    <xf numFmtId="0" fontId="0" fillId="0" borderId="1" applyAlignment="1" pivotButton="0" quotePrefix="0" xfId="0">
      <alignment horizontal="center" vertical="center"/>
    </xf>
    <xf numFmtId="0" fontId="9" fillId="0" borderId="1" applyAlignment="1" pivotButton="0" quotePrefix="0" xfId="0">
      <alignment horizontal="center" vertical="center"/>
    </xf>
    <xf numFmtId="164" fontId="12" fillId="0" borderId="1" applyAlignment="1" pivotButton="0" quotePrefix="0" xfId="0">
      <alignment horizontal="center" vertical="center"/>
    </xf>
    <xf numFmtId="10" fontId="0" fillId="0" borderId="1" applyAlignment="1" pivotButton="0" quotePrefix="0" xfId="0">
      <alignment horizontal="center" vertical="center"/>
    </xf>
    <xf numFmtId="0" fontId="7" fillId="4" borderId="1" applyAlignment="1" pivotButton="0" quotePrefix="0" xfId="0">
      <alignment horizontal="general" vertical="bottom"/>
    </xf>
    <xf numFmtId="164" fontId="0" fillId="4" borderId="1" applyAlignment="1" pivotButton="0" quotePrefix="0" xfId="0">
      <alignment horizontal="center" vertical="center"/>
    </xf>
    <xf numFmtId="9" fontId="0" fillId="4" borderId="1" applyAlignment="1" pivotButton="0" quotePrefix="0" xfId="0">
      <alignment horizontal="center" vertical="center"/>
    </xf>
    <xf numFmtId="0" fontId="0" fillId="4" borderId="1" applyAlignment="1" pivotButton="0" quotePrefix="0" xfId="0">
      <alignment horizontal="center" vertical="center"/>
    </xf>
    <xf numFmtId="0" fontId="13" fillId="2" borderId="0" applyAlignment="1" pivotButton="0" quotePrefix="0" xfId="0">
      <alignment horizontal="general" vertical="bottom"/>
    </xf>
    <xf numFmtId="0" fontId="14" fillId="0" borderId="0" applyAlignment="1" pivotButton="0" quotePrefix="0" xfId="0">
      <alignment horizontal="center" vertical="bottom"/>
    </xf>
    <xf numFmtId="0" fontId="15" fillId="0" borderId="0" applyAlignment="1" pivotButton="0" quotePrefix="0" xfId="0">
      <alignment horizontal="general" vertical="top" wrapText="1"/>
    </xf>
    <xf numFmtId="0" fontId="15" fillId="0" borderId="0" applyAlignment="1" pivotButton="0" quotePrefix="0" xfId="0">
      <alignment horizontal="general" vertical="top" wrapText="1"/>
    </xf>
    <xf numFmtId="0" fontId="16" fillId="0" borderId="0" applyAlignment="1" pivotButton="0" quotePrefix="0" xfId="0">
      <alignment horizontal="general" vertical="top" wrapText="1"/>
    </xf>
    <xf numFmtId="0" fontId="17" fillId="0" borderId="1" applyAlignment="1" pivotButton="0" quotePrefix="0" xfId="0">
      <alignment horizontal="general" vertical="top" wrapText="1"/>
    </xf>
    <xf numFmtId="0" fontId="18" fillId="3" borderId="1" applyAlignment="1" pivotButton="0" quotePrefix="0" xfId="0">
      <alignment horizontal="general" vertical="top" wrapText="1"/>
    </xf>
    <xf numFmtId="0" fontId="19" fillId="0" borderId="0" applyAlignment="1" pivotButton="0" quotePrefix="0" xfId="0">
      <alignment horizontal="general" vertical="bottom"/>
    </xf>
    <xf numFmtId="165" fontId="18" fillId="3" borderId="1" applyAlignment="1" pivotButton="0" quotePrefix="0" xfId="0">
      <alignment horizontal="general" vertical="top" wrapText="1"/>
    </xf>
    <xf numFmtId="0" fontId="20" fillId="2" borderId="1" applyAlignment="1" pivotButton="0" quotePrefix="0" xfId="0">
      <alignment horizontal="center" vertical="center" wrapText="1"/>
    </xf>
    <xf numFmtId="0" fontId="18" fillId="0" borderId="1" applyAlignment="1" pivotButton="0" quotePrefix="0" xfId="0">
      <alignment horizontal="center" vertical="center" wrapText="1"/>
    </xf>
    <xf numFmtId="9" fontId="18"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8" fillId="0" borderId="1" applyAlignment="1" pivotButton="0" quotePrefix="0" xfId="0">
      <alignment horizontal="general" vertical="top" wrapText="1"/>
    </xf>
    <xf numFmtId="0" fontId="7" fillId="0" borderId="0" applyAlignment="1" pivotButton="0" quotePrefix="0" xfId="0">
      <alignment horizontal="general" vertical="top" wrapText="1"/>
    </xf>
    <xf numFmtId="0" fontId="14" fillId="0" borderId="0" applyAlignment="1" pivotButton="0" quotePrefix="0" xfId="0">
      <alignment horizontal="general" vertical="bottom"/>
    </xf>
    <xf numFmtId="0" fontId="21" fillId="0" borderId="0" applyAlignment="1" pivotButton="0" quotePrefix="0" xfId="0">
      <alignment horizontal="general" vertical="bottom"/>
    </xf>
    <xf numFmtId="0" fontId="11" fillId="2" borderId="0" applyAlignment="1" pivotButton="0" quotePrefix="0" xfId="0">
      <alignment horizontal="general" vertical="bottom"/>
    </xf>
    <xf numFmtId="0" fontId="7" fillId="0" borderId="1" applyAlignment="1" pivotButton="0" quotePrefix="0" xfId="0">
      <alignment horizontal="general" vertical="bottom"/>
    </xf>
    <xf numFmtId="0" fontId="0" fillId="3" borderId="1" applyAlignment="1" pivotButton="0" quotePrefix="0" xfId="0">
      <alignment horizontal="general" vertical="bottom"/>
    </xf>
    <xf numFmtId="0" fontId="11" fillId="5" borderId="1" applyAlignment="1" pivotButton="0" quotePrefix="0" xfId="0">
      <alignment horizontal="center" vertical="top" wrapText="1"/>
    </xf>
    <xf numFmtId="0" fontId="9" fillId="0" borderId="1" applyAlignment="1" pivotButton="0" quotePrefix="0" xfId="0">
      <alignment horizontal="general" vertical="top" wrapText="1"/>
    </xf>
    <xf numFmtId="165" fontId="0" fillId="3" borderId="1" applyAlignment="1" pivotButton="0" quotePrefix="0" xfId="0">
      <alignment horizontal="general" vertical="bottom"/>
    </xf>
    <xf numFmtId="165" fontId="0" fillId="0" borderId="1" applyAlignment="1" pivotButton="0" quotePrefix="0" xfId="0">
      <alignment horizontal="general" vertical="bottom"/>
    </xf>
    <xf numFmtId="0" fontId="6" fillId="0" borderId="0" applyAlignment="1" pivotButton="0" quotePrefix="0" xfId="0">
      <alignment horizontal="general" vertical="top" wrapText="1"/>
    </xf>
    <xf numFmtId="0" fontId="8" fillId="2" borderId="0" applyAlignment="1" pivotButton="0" quotePrefix="0" xfId="0">
      <alignment horizontal="general" vertical="bottom"/>
    </xf>
    <xf numFmtId="0" fontId="7" fillId="0" borderId="1" applyAlignment="1" pivotButton="0" quotePrefix="0" xfId="0">
      <alignment horizontal="general" vertical="top" wrapText="1"/>
    </xf>
    <xf numFmtId="0" fontId="7" fillId="3" borderId="1" applyAlignment="1" pivotButton="0" quotePrefix="0" xfId="0">
      <alignment horizontal="general" vertical="top" wrapText="1"/>
    </xf>
    <xf numFmtId="0" fontId="21" fillId="0" borderId="0" applyAlignment="1" pivotButton="0" quotePrefix="0" xfId="0">
      <alignment horizontal="general" vertical="top" wrapText="1"/>
    </xf>
    <xf numFmtId="0" fontId="7" fillId="0" borderId="1" applyAlignment="1" pivotButton="0" quotePrefix="0" xfId="0">
      <alignment horizontal="center" vertical="top" wrapText="1"/>
    </xf>
    <xf numFmtId="166" fontId="0" fillId="3" borderId="1" applyAlignment="1" pivotButton="0" quotePrefix="0" xfId="0">
      <alignment horizontal="general" vertical="bottom"/>
    </xf>
    <xf numFmtId="167" fontId="7" fillId="0" borderId="1" applyAlignment="1" pivotButton="0" quotePrefix="0" xfId="0">
      <alignment horizontal="general" vertical="bottom"/>
    </xf>
    <xf numFmtId="1" fontId="9" fillId="0" borderId="1" applyAlignment="1" pivotButton="0" quotePrefix="0" xfId="0">
      <alignment horizontal="center" vertical="top" wrapText="1"/>
    </xf>
    <xf numFmtId="0" fontId="0" fillId="0" borderId="1" applyAlignment="1" pivotButton="0" quotePrefix="0" xfId="0">
      <alignment horizontal="center" vertical="top" wrapText="1"/>
    </xf>
    <xf numFmtId="167" fontId="9" fillId="0" borderId="1" applyAlignment="1" pivotButton="0" quotePrefix="0" xfId="0">
      <alignment horizontal="center" vertical="top" wrapText="1"/>
    </xf>
    <xf numFmtId="168" fontId="0" fillId="3" borderId="1" applyAlignment="1" pivotButton="0" quotePrefix="0" xfId="0">
      <alignment horizontal="general" vertical="bottom"/>
    </xf>
    <xf numFmtId="1" fontId="7" fillId="0" borderId="1" applyAlignment="1" pivotButton="0" quotePrefix="0" xfId="0">
      <alignment horizontal="general" vertical="top" wrapText="1"/>
    </xf>
    <xf numFmtId="0" fontId="9" fillId="6" borderId="1" applyAlignment="1" pivotButton="0" quotePrefix="0" xfId="0">
      <alignment horizontal="right" vertical="center"/>
    </xf>
    <xf numFmtId="164" fontId="22" fillId="0" borderId="1" applyAlignment="1" pivotButton="0" quotePrefix="0" xfId="0">
      <alignment horizontal="center" vertical="center"/>
    </xf>
    <xf numFmtId="0" fontId="22" fillId="0" borderId="1" applyAlignment="1" pivotButton="0" quotePrefix="0" xfId="0">
      <alignment horizontal="center" vertical="center"/>
    </xf>
    <xf numFmtId="0" fontId="23" fillId="0" borderId="0" applyAlignment="1" pivotButton="0" quotePrefix="0" xfId="0">
      <alignment horizontal="general" vertical="top" wrapText="1"/>
    </xf>
    <xf numFmtId="0" fontId="22" fillId="0" borderId="1" applyAlignment="1" pivotButton="0" quotePrefix="0" xfId="0">
      <alignment horizontal="center" vertical="center"/>
    </xf>
    <xf numFmtId="0" fontId="11" fillId="7" borderId="1" applyAlignment="1" pivotButton="0" quotePrefix="0" xfId="0">
      <alignment horizontal="center" vertical="top" wrapText="1"/>
    </xf>
    <xf numFmtId="0" fontId="24" fillId="8" borderId="1" applyAlignment="1" pivotButton="0" quotePrefix="0" xfId="0">
      <alignment horizontal="general" vertical="top" wrapText="1"/>
    </xf>
    <xf numFmtId="0" fontId="7" fillId="4" borderId="1" applyAlignment="1" pivotButton="0" quotePrefix="0" xfId="0">
      <alignment horizontal="center" vertical="top" wrapText="1"/>
    </xf>
    <xf numFmtId="0" fontId="7" fillId="3" borderId="1" applyAlignment="1" pivotButton="0" quotePrefix="0" xfId="0">
      <alignment horizontal="center" vertical="top" wrapText="1"/>
    </xf>
    <xf numFmtId="9" fontId="7" fillId="0" borderId="1" applyAlignment="1" pivotButton="0" quotePrefix="0" xfId="0">
      <alignment horizontal="center" vertical="top" wrapText="1"/>
    </xf>
    <xf numFmtId="0" fontId="7" fillId="9" borderId="1" applyAlignment="1" pivotButton="0" quotePrefix="0" xfId="0">
      <alignment horizontal="center" vertical="top" wrapText="1"/>
    </xf>
    <xf numFmtId="0" fontId="7" fillId="9" borderId="1" applyAlignment="1" pivotButton="0" quotePrefix="0" xfId="0">
      <alignment horizontal="center" vertical="top" wrapText="1"/>
    </xf>
    <xf numFmtId="0" fontId="25" fillId="10" borderId="1" applyAlignment="1" pivotButton="0" quotePrefix="0" xfId="0">
      <alignment horizontal="general" vertical="top" wrapText="1"/>
    </xf>
    <xf numFmtId="0" fontId="23" fillId="10" borderId="1" applyAlignment="1" pivotButton="0" quotePrefix="0" xfId="0">
      <alignment horizontal="general" vertical="top" wrapText="1"/>
    </xf>
    <xf numFmtId="0" fontId="26" fillId="10" borderId="1" applyAlignment="1" pivotButton="0" quotePrefix="0" xfId="0">
      <alignment horizontal="general" vertical="bottom"/>
    </xf>
    <xf numFmtId="0" fontId="0" fillId="10" borderId="1" applyAlignment="1" pivotButton="0" quotePrefix="0" xfId="0">
      <alignment horizontal="general" vertical="bottom"/>
    </xf>
    <xf numFmtId="0" fontId="25" fillId="3" borderId="1" applyAlignment="1" pivotButton="0" quotePrefix="0" xfId="0">
      <alignment horizontal="center" vertical="top" wrapText="1"/>
    </xf>
    <xf numFmtId="0" fontId="27" fillId="0" borderId="0"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0" fontId="30" fillId="0" borderId="0" applyAlignment="1" pivotButton="0" quotePrefix="0" xfId="0">
      <alignment horizontal="center" vertical="top" wrapText="1"/>
    </xf>
    <xf numFmtId="0" fontId="31" fillId="11" borderId="2" applyAlignment="1" pivotButton="0" quotePrefix="0" xfId="0">
      <alignment horizontal="left" vertical="top" wrapText="1"/>
    </xf>
    <xf numFmtId="0" fontId="32" fillId="0" borderId="2" applyAlignment="1" pivotButton="0" quotePrefix="0" xfId="0">
      <alignment horizontal="justify" vertical="top" wrapText="1"/>
    </xf>
    <xf numFmtId="0" fontId="33" fillId="4" borderId="2" applyAlignment="1" pivotButton="0" quotePrefix="0" xfId="0">
      <alignment horizontal="left" vertical="center" wrapText="1"/>
    </xf>
    <xf numFmtId="0" fontId="34" fillId="0" borderId="2" applyAlignment="1" pivotButton="0" quotePrefix="0" xfId="0">
      <alignment horizontal="left" vertical="center" wrapText="1"/>
    </xf>
    <xf numFmtId="0" fontId="35" fillId="4" borderId="2" applyAlignment="1" pivotButton="0" quotePrefix="0" xfId="0">
      <alignment horizontal="center" vertical="center" wrapText="1"/>
    </xf>
    <xf numFmtId="0" fontId="36" fillId="0" borderId="2" applyAlignment="1" pivotButton="0" quotePrefix="0" xfId="0">
      <alignment horizontal="center" vertical="center" wrapText="1"/>
    </xf>
    <xf numFmtId="0" fontId="36" fillId="0" borderId="2" applyAlignment="1" pivotButton="0" quotePrefix="0" xfId="0">
      <alignment horizontal="left" vertical="center" wrapText="1"/>
    </xf>
    <xf numFmtId="9" fontId="34" fillId="0" borderId="2" applyAlignment="1" pivotButton="0" quotePrefix="0" xfId="0">
      <alignment horizontal="center" vertical="center" wrapText="1"/>
    </xf>
    <xf numFmtId="164" fontId="34" fillId="0" borderId="2" applyAlignment="1" pivotButton="0" quotePrefix="0" xfId="0">
      <alignment horizontal="center" vertical="center" wrapText="1"/>
    </xf>
    <xf numFmtId="0" fontId="37" fillId="0" borderId="2" applyAlignment="1" pivotButton="0" quotePrefix="0" xfId="0">
      <alignment horizontal="left" vertical="center" wrapText="1"/>
    </xf>
    <xf numFmtId="0" fontId="36" fillId="4" borderId="2" applyAlignment="1" pivotButton="0" quotePrefix="0" xfId="0">
      <alignment horizontal="center" vertical="center" wrapText="1"/>
    </xf>
    <xf numFmtId="0" fontId="36" fillId="4" borderId="2" applyAlignment="1" pivotButton="0" quotePrefix="0" xfId="0">
      <alignment horizontal="left" vertical="center" wrapText="1"/>
    </xf>
    <xf numFmtId="9" fontId="34" fillId="4" borderId="2" applyAlignment="1" pivotButton="0" quotePrefix="0" xfId="0">
      <alignment horizontal="center" vertical="center" wrapText="1"/>
    </xf>
    <xf numFmtId="164" fontId="34" fillId="4" borderId="2" applyAlignment="1" pivotButton="0" quotePrefix="0" xfId="0">
      <alignment horizontal="center" vertical="center" wrapText="1"/>
    </xf>
    <xf numFmtId="0" fontId="37" fillId="4" borderId="2" applyAlignment="1" pivotButton="0" quotePrefix="0" xfId="0">
      <alignment horizontal="left" vertical="center" wrapText="1"/>
    </xf>
    <xf numFmtId="0" fontId="31" fillId="0" borderId="2" applyAlignment="1" pivotButton="0" quotePrefix="0" xfId="0">
      <alignment horizontal="center" vertical="center" wrapText="1"/>
    </xf>
    <xf numFmtId="0" fontId="38" fillId="0" borderId="0" applyAlignment="1" pivotButton="0" quotePrefix="0" xfId="0">
      <alignment horizontal="left" vertical="top" wrapText="1"/>
    </xf>
    <xf numFmtId="0" fontId="28" fillId="0" borderId="0" applyAlignment="1" pivotButton="0" quotePrefix="0" xfId="0">
      <alignment horizontal="center" vertical="top" wrapText="1"/>
    </xf>
    <xf numFmtId="0" fontId="35" fillId="4" borderId="2" applyAlignment="1" pivotButton="0" quotePrefix="0" xfId="0">
      <alignment horizontal="center" vertical="top" wrapText="1"/>
    </xf>
    <xf numFmtId="0" fontId="32" fillId="0" borderId="2" applyAlignment="1" pivotButton="0" quotePrefix="0" xfId="0">
      <alignment horizontal="left" vertical="top" wrapText="1"/>
    </xf>
    <xf numFmtId="1" fontId="32" fillId="0" borderId="2" applyAlignment="1" pivotButton="0" quotePrefix="0" xfId="0">
      <alignment horizontal="center" vertical="top" wrapText="1"/>
    </xf>
    <xf numFmtId="0" fontId="32" fillId="0" borderId="2" applyAlignment="1" pivotButton="0" quotePrefix="0" xfId="0">
      <alignment horizontal="center" vertical="top" wrapText="1"/>
    </xf>
    <xf numFmtId="0" fontId="35" fillId="0" borderId="2" applyAlignment="1" pivotButton="0" quotePrefix="0" xfId="0">
      <alignment horizontal="center" vertical="top" wrapText="1"/>
    </xf>
    <xf numFmtId="0" fontId="39" fillId="0" borderId="2" applyAlignment="1" pivotButton="0" quotePrefix="0" xfId="0">
      <alignment horizontal="left" vertical="top" wrapText="1"/>
    </xf>
    <xf numFmtId="0" fontId="33" fillId="0" borderId="2" applyAlignment="1" pivotButton="0" quotePrefix="0" xfId="0">
      <alignment horizontal="left" vertical="center" wrapText="1"/>
    </xf>
    <xf numFmtId="0" fontId="32" fillId="0" borderId="2" applyAlignment="1" pivotButton="0" quotePrefix="0" xfId="0">
      <alignment horizontal="left" vertical="center" wrapText="1"/>
    </xf>
    <xf numFmtId="0" fontId="32" fillId="0" borderId="2" applyAlignment="1" pivotButton="0" quotePrefix="0" xfId="0">
      <alignment horizontal="center" vertical="center" wrapText="1"/>
    </xf>
    <xf numFmtId="0" fontId="40" fillId="0" borderId="2" applyAlignment="1" pivotButton="0" quotePrefix="0" xfId="0">
      <alignment horizontal="left" vertical="center" wrapText="1"/>
    </xf>
    <xf numFmtId="0" fontId="35" fillId="4" borderId="2" applyAlignment="1" pivotButton="0" quotePrefix="0" xfId="0">
      <alignment horizontal="left" vertical="center" wrapText="1"/>
    </xf>
    <xf numFmtId="0" fontId="35" fillId="0" borderId="2" applyAlignment="1" pivotButton="0" quotePrefix="0" xfId="0">
      <alignment horizontal="center" vertical="center" wrapText="1"/>
    </xf>
    <xf numFmtId="0" fontId="22" fillId="0" borderId="0" applyAlignment="1" pivotButton="0" quotePrefix="0" xfId="0">
      <alignment horizontal="center" vertical="center" wrapText="1"/>
    </xf>
    <xf numFmtId="0" fontId="35" fillId="11" borderId="2" applyAlignment="1" pivotButton="0" quotePrefix="0" xfId="0">
      <alignment horizontal="center" vertical="center" wrapText="1"/>
    </xf>
    <xf numFmtId="0" fontId="41" fillId="12" borderId="2" applyAlignment="1" pivotButton="0" quotePrefix="0" xfId="0">
      <alignment horizontal="left" vertical="top" wrapText="1"/>
    </xf>
    <xf numFmtId="0" fontId="35" fillId="4" borderId="2" applyAlignment="1" pivotButton="0" quotePrefix="0" xfId="0">
      <alignment horizontal="left" vertical="top" wrapText="1"/>
    </xf>
    <xf numFmtId="0" fontId="36" fillId="0" borderId="2" applyAlignment="1" pivotButton="0" quotePrefix="0" xfId="0">
      <alignment horizontal="left" vertical="top" wrapText="1"/>
    </xf>
    <xf numFmtId="0" fontId="34" fillId="0" borderId="2" applyAlignment="1" pivotButton="0" quotePrefix="0" xfId="0">
      <alignment horizontal="left" vertical="top" wrapText="1"/>
    </xf>
    <xf numFmtId="0" fontId="37" fillId="0" borderId="2" applyAlignment="1" pivotButton="0" quotePrefix="0" xfId="0">
      <alignment horizontal="center" vertical="top" wrapText="1"/>
    </xf>
    <xf numFmtId="9" fontId="32" fillId="0" borderId="2" applyAlignment="1" pivotButton="0" quotePrefix="0" xfId="0">
      <alignment horizontal="center" vertical="top" wrapText="1"/>
    </xf>
    <xf numFmtId="0" fontId="32" fillId="13" borderId="2" applyAlignment="1" pivotButton="0" quotePrefix="0" xfId="0">
      <alignment horizontal="left" vertical="top" wrapText="1"/>
    </xf>
    <xf numFmtId="0" fontId="37" fillId="13" borderId="2" applyAlignment="1" pivotButton="0" quotePrefix="0" xfId="0">
      <alignment horizontal="left" vertical="top" wrapText="1"/>
    </xf>
    <xf numFmtId="0" fontId="42" fillId="0" borderId="2" applyAlignment="1" pivotButton="0" quotePrefix="0" xfId="0">
      <alignment horizontal="left" vertical="top" wrapText="1"/>
    </xf>
    <xf numFmtId="0" fontId="37" fillId="0" borderId="2"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general" vertical="top" wrapText="1"/>
    </xf>
    <xf numFmtId="0" fontId="4"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2" borderId="1" applyAlignment="1" pivotButton="0" quotePrefix="0" xfId="0">
      <alignment horizontal="center" vertical="top" wrapText="1"/>
    </xf>
    <xf numFmtId="0" fontId="9" fillId="0" borderId="1" applyAlignment="1" pivotButton="0" quotePrefix="0" xfId="0">
      <alignment horizontal="general" vertical="bottom"/>
    </xf>
    <xf numFmtId="164" fontId="0" fillId="0" borderId="1" applyAlignment="1" pivotButton="0" quotePrefix="0" xfId="0">
      <alignment horizontal="center" vertical="center"/>
    </xf>
    <xf numFmtId="164" fontId="12" fillId="3" borderId="1" applyAlignment="1" pivotButton="0" quotePrefix="0" xfId="0">
      <alignment horizontal="center" vertical="center"/>
    </xf>
    <xf numFmtId="0" fontId="0" fillId="0" borderId="1" applyAlignment="1" pivotButton="0" quotePrefix="0" xfId="0">
      <alignment horizontal="center" vertical="center"/>
    </xf>
    <xf numFmtId="9" fontId="0" fillId="0" borderId="1" applyAlignment="1" pivotButton="0" quotePrefix="0" xfId="0">
      <alignment horizontal="center" vertical="center"/>
    </xf>
    <xf numFmtId="0" fontId="9" fillId="0" borderId="1" applyAlignment="1" pivotButton="0" quotePrefix="0" xfId="0">
      <alignment horizontal="center" vertical="center"/>
    </xf>
    <xf numFmtId="164" fontId="12" fillId="0" borderId="1" applyAlignment="1" pivotButton="0" quotePrefix="0" xfId="0">
      <alignment horizontal="center" vertical="center"/>
    </xf>
    <xf numFmtId="10" fontId="0" fillId="0" borderId="1" applyAlignment="1" pivotButton="0" quotePrefix="0" xfId="0">
      <alignment horizontal="center" vertical="center"/>
    </xf>
    <xf numFmtId="0" fontId="7" fillId="4" borderId="1" applyAlignment="1" pivotButton="0" quotePrefix="0" xfId="0">
      <alignment horizontal="general" vertical="bottom"/>
    </xf>
    <xf numFmtId="164" fontId="0" fillId="4" borderId="1" applyAlignment="1" pivotButton="0" quotePrefix="0" xfId="0">
      <alignment horizontal="center" vertical="center"/>
    </xf>
    <xf numFmtId="9" fontId="0" fillId="4" borderId="1" applyAlignment="1" pivotButton="0" quotePrefix="0" xfId="0">
      <alignment horizontal="center" vertical="center"/>
    </xf>
    <xf numFmtId="0" fontId="0" fillId="4" borderId="1" applyAlignment="1" pivotButton="0" quotePrefix="0" xfId="0">
      <alignment horizontal="center" vertical="center"/>
    </xf>
    <xf numFmtId="0" fontId="13" fillId="2" borderId="0" applyAlignment="1" pivotButton="0" quotePrefix="0" xfId="0">
      <alignment horizontal="general" vertical="bottom"/>
    </xf>
    <xf numFmtId="0" fontId="14" fillId="0" borderId="0" applyAlignment="1" pivotButton="0" quotePrefix="0" xfId="0">
      <alignment horizontal="center" vertical="bottom"/>
    </xf>
    <xf numFmtId="0" fontId="15" fillId="0" borderId="0" applyAlignment="1" pivotButton="0" quotePrefix="0" xfId="0">
      <alignment horizontal="general" vertical="top" wrapText="1"/>
    </xf>
    <xf numFmtId="0" fontId="16" fillId="0" borderId="0" applyAlignment="1" pivotButton="0" quotePrefix="0" xfId="0">
      <alignment horizontal="general" vertical="top" wrapText="1"/>
    </xf>
    <xf numFmtId="0" fontId="17" fillId="0" borderId="1" applyAlignment="1" pivotButton="0" quotePrefix="0" xfId="0">
      <alignment horizontal="general" vertical="top" wrapText="1"/>
    </xf>
    <xf numFmtId="0" fontId="18" fillId="3" borderId="1" applyAlignment="1" pivotButton="0" quotePrefix="0" xfId="0">
      <alignment horizontal="general" vertical="top" wrapText="1"/>
    </xf>
    <xf numFmtId="0" fontId="0" fillId="0" borderId="5" pivotButton="0" quotePrefix="0" xfId="0"/>
    <xf numFmtId="0" fontId="0" fillId="0" borderId="6" pivotButton="0" quotePrefix="0" xfId="0"/>
    <xf numFmtId="0" fontId="19" fillId="0" borderId="0" applyAlignment="1" pivotButton="0" quotePrefix="0" xfId="0">
      <alignment horizontal="general" vertical="bottom"/>
    </xf>
    <xf numFmtId="165" fontId="18" fillId="3" borderId="1" applyAlignment="1" pivotButton="0" quotePrefix="0" xfId="0">
      <alignment horizontal="general" vertical="top" wrapText="1"/>
    </xf>
    <xf numFmtId="0" fontId="20" fillId="2" borderId="1" applyAlignment="1" pivotButton="0" quotePrefix="0" xfId="0">
      <alignment horizontal="center" vertical="center" wrapText="1"/>
    </xf>
    <xf numFmtId="0" fontId="18" fillId="0" borderId="1" applyAlignment="1" pivotButton="0" quotePrefix="0" xfId="0">
      <alignment horizontal="center" vertical="center" wrapText="1"/>
    </xf>
    <xf numFmtId="9" fontId="18"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8" fillId="0" borderId="1" applyAlignment="1" pivotButton="0" quotePrefix="0" xfId="0">
      <alignment horizontal="general" vertical="top" wrapText="1"/>
    </xf>
    <xf numFmtId="0" fontId="14" fillId="0" borderId="0" applyAlignment="1" pivotButton="0" quotePrefix="0" xfId="0">
      <alignment horizontal="general" vertical="bottom"/>
    </xf>
    <xf numFmtId="0" fontId="21" fillId="0" borderId="0" applyAlignment="1" pivotButton="0" quotePrefix="0" xfId="0">
      <alignment horizontal="general" vertical="bottom"/>
    </xf>
    <xf numFmtId="0" fontId="11" fillId="2" borderId="0" applyAlignment="1" pivotButton="0" quotePrefix="0" xfId="0">
      <alignment horizontal="general" vertical="bottom"/>
    </xf>
    <xf numFmtId="0" fontId="7" fillId="0" borderId="1" applyAlignment="1" pivotButton="0" quotePrefix="0" xfId="0">
      <alignment horizontal="general" vertical="bottom"/>
    </xf>
    <xf numFmtId="0" fontId="0" fillId="3" borderId="1" applyAlignment="1" pivotButton="0" quotePrefix="0" xfId="0">
      <alignment horizontal="general" vertical="bottom"/>
    </xf>
    <xf numFmtId="0" fontId="11" fillId="5" borderId="1" applyAlignment="1" pivotButton="0" quotePrefix="0" xfId="0">
      <alignment horizontal="center" vertical="top" wrapText="1"/>
    </xf>
    <xf numFmtId="0" fontId="9" fillId="0" borderId="1" applyAlignment="1" pivotButton="0" quotePrefix="0" xfId="0">
      <alignment horizontal="general" vertical="top" wrapText="1"/>
    </xf>
    <xf numFmtId="165" fontId="0" fillId="3" borderId="1" applyAlignment="1" pivotButton="0" quotePrefix="0" xfId="0">
      <alignment horizontal="general" vertical="bottom"/>
    </xf>
    <xf numFmtId="165" fontId="0" fillId="0" borderId="1" applyAlignment="1" pivotButton="0" quotePrefix="0" xfId="0">
      <alignment horizontal="general" vertical="bottom"/>
    </xf>
    <xf numFmtId="0" fontId="8" fillId="2" borderId="0" applyAlignment="1" pivotButton="0" quotePrefix="0" xfId="0">
      <alignment horizontal="general" vertical="bottom"/>
    </xf>
    <xf numFmtId="0" fontId="7" fillId="0" borderId="1" applyAlignment="1" pivotButton="0" quotePrefix="0" xfId="0">
      <alignment horizontal="general" vertical="top" wrapText="1"/>
    </xf>
    <xf numFmtId="0" fontId="7" fillId="3" borderId="1" applyAlignment="1" pivotButton="0" quotePrefix="0" xfId="0">
      <alignment horizontal="general" vertical="top" wrapText="1"/>
    </xf>
    <xf numFmtId="0" fontId="21" fillId="0" borderId="0" applyAlignment="1" pivotButton="0" quotePrefix="0" xfId="0">
      <alignment horizontal="general" vertical="top" wrapText="1"/>
    </xf>
    <xf numFmtId="0" fontId="7" fillId="0" borderId="1" applyAlignment="1" pivotButton="0" quotePrefix="0" xfId="0">
      <alignment horizontal="center" vertical="top" wrapText="1"/>
    </xf>
    <xf numFmtId="166" fontId="0" fillId="3" borderId="1" applyAlignment="1" pivotButton="0" quotePrefix="0" xfId="0">
      <alignment horizontal="general" vertical="bottom"/>
    </xf>
    <xf numFmtId="167" fontId="7" fillId="0" borderId="1" applyAlignment="1" pivotButton="0" quotePrefix="0" xfId="0">
      <alignment horizontal="general" vertical="bottom"/>
    </xf>
    <xf numFmtId="1" fontId="9" fillId="0" borderId="1" applyAlignment="1" pivotButton="0" quotePrefix="0" xfId="0">
      <alignment horizontal="center" vertical="top" wrapText="1"/>
    </xf>
    <xf numFmtId="0" fontId="0" fillId="0" borderId="1" applyAlignment="1" pivotButton="0" quotePrefix="0" xfId="0">
      <alignment horizontal="center" vertical="top" wrapText="1"/>
    </xf>
    <xf numFmtId="167" fontId="9" fillId="0" borderId="1" applyAlignment="1" pivotButton="0" quotePrefix="0" xfId="0">
      <alignment horizontal="center" vertical="top" wrapText="1"/>
    </xf>
    <xf numFmtId="168" fontId="0" fillId="3" borderId="1" applyAlignment="1" pivotButton="0" quotePrefix="0" xfId="0">
      <alignment horizontal="general" vertical="bottom"/>
    </xf>
    <xf numFmtId="1" fontId="7" fillId="0" borderId="1" applyAlignment="1" pivotButton="0" quotePrefix="0" xfId="0">
      <alignment horizontal="general" vertical="top" wrapText="1"/>
    </xf>
    <xf numFmtId="0" fontId="9" fillId="6" borderId="1" applyAlignment="1" pivotButton="0" quotePrefix="0" xfId="0">
      <alignment horizontal="right" vertical="center"/>
    </xf>
    <xf numFmtId="164" fontId="22" fillId="0" borderId="1" applyAlignment="1" pivotButton="0" quotePrefix="0" xfId="0">
      <alignment horizontal="center" vertical="center"/>
    </xf>
    <xf numFmtId="0" fontId="22" fillId="0" borderId="1" applyAlignment="1" pivotButton="0" quotePrefix="0" xfId="0">
      <alignment horizontal="center" vertical="center"/>
    </xf>
    <xf numFmtId="0" fontId="23" fillId="0" borderId="0" applyAlignment="1" pivotButton="0" quotePrefix="0" xfId="0">
      <alignment horizontal="general" vertical="top" wrapText="1"/>
    </xf>
    <xf numFmtId="0" fontId="11" fillId="7" borderId="1" applyAlignment="1" pivotButton="0" quotePrefix="0" xfId="0">
      <alignment horizontal="center" vertical="top" wrapText="1"/>
    </xf>
    <xf numFmtId="0" fontId="24" fillId="8" borderId="1" applyAlignment="1" pivotButton="0" quotePrefix="0" xfId="0">
      <alignment horizontal="general" vertical="top" wrapText="1"/>
    </xf>
    <xf numFmtId="0" fontId="7" fillId="4" borderId="1" applyAlignment="1" pivotButton="0" quotePrefix="0" xfId="0">
      <alignment horizontal="center" vertical="top" wrapText="1"/>
    </xf>
    <xf numFmtId="0" fontId="7" fillId="3" borderId="1" applyAlignment="1" pivotButton="0" quotePrefix="0" xfId="0">
      <alignment horizontal="center" vertical="top" wrapText="1"/>
    </xf>
    <xf numFmtId="9" fontId="7" fillId="0" borderId="1" applyAlignment="1" pivotButton="0" quotePrefix="0" xfId="0">
      <alignment horizontal="center" vertical="top" wrapText="1"/>
    </xf>
    <xf numFmtId="0" fontId="7" fillId="9" borderId="1" applyAlignment="1" pivotButton="0" quotePrefix="0" xfId="0">
      <alignment horizontal="center" vertical="top" wrapText="1"/>
    </xf>
    <xf numFmtId="0" fontId="25" fillId="10" borderId="1" applyAlignment="1" pivotButton="0" quotePrefix="0" xfId="0">
      <alignment horizontal="general" vertical="top" wrapText="1"/>
    </xf>
    <xf numFmtId="0" fontId="23" fillId="10" borderId="1" applyAlignment="1" pivotButton="0" quotePrefix="0" xfId="0">
      <alignment horizontal="general" vertical="top" wrapText="1"/>
    </xf>
    <xf numFmtId="0" fontId="26" fillId="10" borderId="1" applyAlignment="1" pivotButton="0" quotePrefix="0" xfId="0">
      <alignment horizontal="general" vertical="bottom"/>
    </xf>
    <xf numFmtId="0" fontId="0" fillId="10" borderId="1" applyAlignment="1" pivotButton="0" quotePrefix="0" xfId="0">
      <alignment horizontal="general" vertical="bottom"/>
    </xf>
    <xf numFmtId="0" fontId="25" fillId="3" borderId="1" applyAlignment="1" pivotButton="0" quotePrefix="0" xfId="0">
      <alignment horizontal="center" vertical="top" wrapText="1"/>
    </xf>
    <xf numFmtId="0" fontId="27" fillId="0" borderId="0"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0" fontId="30" fillId="0" borderId="0" applyAlignment="1" pivotButton="0" quotePrefix="0" xfId="0">
      <alignment horizontal="center" vertical="top" wrapText="1"/>
    </xf>
    <xf numFmtId="0" fontId="31" fillId="11" borderId="2" applyAlignment="1" pivotButton="0" quotePrefix="0" xfId="0">
      <alignment horizontal="left" vertical="top" wrapText="1"/>
    </xf>
    <xf numFmtId="0" fontId="0" fillId="0" borderId="9" pivotButton="0" quotePrefix="0" xfId="0"/>
    <xf numFmtId="0" fontId="0" fillId="0" borderId="10" pivotButton="0" quotePrefix="0" xfId="0"/>
    <xf numFmtId="0" fontId="32" fillId="0" borderId="2" applyAlignment="1" pivotButton="0" quotePrefix="0" xfId="0">
      <alignment horizontal="justify" vertical="top" wrapText="1"/>
    </xf>
    <xf numFmtId="0" fontId="33" fillId="4" borderId="2" applyAlignment="1" pivotButton="0" quotePrefix="0" xfId="0">
      <alignment horizontal="left" vertical="center" wrapText="1"/>
    </xf>
    <xf numFmtId="0" fontId="34" fillId="0" borderId="2" applyAlignment="1" pivotButton="0" quotePrefix="0" xfId="0">
      <alignment horizontal="left" vertical="center" wrapText="1"/>
    </xf>
    <xf numFmtId="0" fontId="35" fillId="4" borderId="2" applyAlignment="1" pivotButton="0" quotePrefix="0" xfId="0">
      <alignment horizontal="center" vertical="center" wrapText="1"/>
    </xf>
    <xf numFmtId="0" fontId="36" fillId="0" borderId="2" applyAlignment="1" pivotButton="0" quotePrefix="0" xfId="0">
      <alignment horizontal="center" vertical="center" wrapText="1"/>
    </xf>
    <xf numFmtId="0" fontId="36" fillId="0" borderId="2" applyAlignment="1" pivotButton="0" quotePrefix="0" xfId="0">
      <alignment horizontal="left" vertical="center" wrapText="1"/>
    </xf>
    <xf numFmtId="9" fontId="34" fillId="0" borderId="2" applyAlignment="1" pivotButton="0" quotePrefix="0" xfId="0">
      <alignment horizontal="center" vertical="center" wrapText="1"/>
    </xf>
    <xf numFmtId="164" fontId="34" fillId="0" borderId="2" applyAlignment="1" pivotButton="0" quotePrefix="0" xfId="0">
      <alignment horizontal="center" vertical="center" wrapText="1"/>
    </xf>
    <xf numFmtId="0" fontId="37" fillId="0" borderId="2" applyAlignment="1" pivotButton="0" quotePrefix="0" xfId="0">
      <alignment horizontal="left" vertical="center" wrapText="1"/>
    </xf>
    <xf numFmtId="0" fontId="36" fillId="4" borderId="2" applyAlignment="1" pivotButton="0" quotePrefix="0" xfId="0">
      <alignment horizontal="center" vertical="center" wrapText="1"/>
    </xf>
    <xf numFmtId="0" fontId="36" fillId="4" borderId="2" applyAlignment="1" pivotButton="0" quotePrefix="0" xfId="0">
      <alignment horizontal="left" vertical="center" wrapText="1"/>
    </xf>
    <xf numFmtId="9" fontId="34" fillId="4" borderId="2" applyAlignment="1" pivotButton="0" quotePrefix="0" xfId="0">
      <alignment horizontal="center" vertical="center" wrapText="1"/>
    </xf>
    <xf numFmtId="164" fontId="34" fillId="4" borderId="2" applyAlignment="1" pivotButton="0" quotePrefix="0" xfId="0">
      <alignment horizontal="center" vertical="center" wrapText="1"/>
    </xf>
    <xf numFmtId="0" fontId="37" fillId="4" borderId="2" applyAlignment="1" pivotButton="0" quotePrefix="0" xfId="0">
      <alignment horizontal="left" vertical="center" wrapText="1"/>
    </xf>
    <xf numFmtId="0" fontId="31" fillId="0" borderId="2" applyAlignment="1" pivotButton="0" quotePrefix="0" xfId="0">
      <alignment horizontal="center" vertical="center" wrapText="1"/>
    </xf>
    <xf numFmtId="0" fontId="38" fillId="0" borderId="0" applyAlignment="1" pivotButton="0" quotePrefix="0" xfId="0">
      <alignment horizontal="left" vertical="top" wrapText="1"/>
    </xf>
    <xf numFmtId="0" fontId="28" fillId="0" borderId="0" applyAlignment="1" pivotButton="0" quotePrefix="0" xfId="0">
      <alignment horizontal="center" vertical="top" wrapText="1"/>
    </xf>
    <xf numFmtId="0" fontId="35" fillId="4" borderId="2" applyAlignment="1" pivotButton="0" quotePrefix="0" xfId="0">
      <alignment horizontal="center" vertical="top" wrapText="1"/>
    </xf>
    <xf numFmtId="0" fontId="32" fillId="0" borderId="2" applyAlignment="1" pivotButton="0" quotePrefix="0" xfId="0">
      <alignment horizontal="left" vertical="top" wrapText="1"/>
    </xf>
    <xf numFmtId="1" fontId="32" fillId="0" borderId="2" applyAlignment="1" pivotButton="0" quotePrefix="0" xfId="0">
      <alignment horizontal="center" vertical="top" wrapText="1"/>
    </xf>
    <xf numFmtId="0" fontId="32" fillId="0" borderId="2" applyAlignment="1" pivotButton="0" quotePrefix="0" xfId="0">
      <alignment horizontal="center" vertical="top" wrapText="1"/>
    </xf>
    <xf numFmtId="0" fontId="35" fillId="0" borderId="2" applyAlignment="1" pivotButton="0" quotePrefix="0" xfId="0">
      <alignment horizontal="center" vertical="top" wrapText="1"/>
    </xf>
    <xf numFmtId="0" fontId="39" fillId="0" borderId="2" applyAlignment="1" pivotButton="0" quotePrefix="0" xfId="0">
      <alignment horizontal="left" vertical="top" wrapText="1"/>
    </xf>
    <xf numFmtId="0" fontId="33" fillId="0" borderId="2" applyAlignment="1" pivotButton="0" quotePrefix="0" xfId="0">
      <alignment horizontal="left" vertical="center" wrapText="1"/>
    </xf>
    <xf numFmtId="0" fontId="32" fillId="0" borderId="2" applyAlignment="1" pivotButton="0" quotePrefix="0" xfId="0">
      <alignment horizontal="left" vertical="center" wrapText="1"/>
    </xf>
    <xf numFmtId="0" fontId="32" fillId="0" borderId="2" applyAlignment="1" pivotButton="0" quotePrefix="0" xfId="0">
      <alignment horizontal="center" vertical="center" wrapText="1"/>
    </xf>
    <xf numFmtId="0" fontId="40" fillId="0" borderId="2" applyAlignment="1" pivotButton="0" quotePrefix="0" xfId="0">
      <alignment horizontal="left" vertical="center" wrapText="1"/>
    </xf>
    <xf numFmtId="0" fontId="35" fillId="4" borderId="2" applyAlignment="1" pivotButton="0" quotePrefix="0" xfId="0">
      <alignment horizontal="left" vertical="center" wrapText="1"/>
    </xf>
    <xf numFmtId="0" fontId="35" fillId="0" borderId="2" applyAlignment="1" pivotButton="0" quotePrefix="0" xfId="0">
      <alignment horizontal="center" vertical="center" wrapText="1"/>
    </xf>
    <xf numFmtId="0" fontId="22" fillId="0" borderId="0" applyAlignment="1" pivotButton="0" quotePrefix="0" xfId="0">
      <alignment horizontal="center" vertical="center" wrapText="1"/>
    </xf>
    <xf numFmtId="0" fontId="35" fillId="11" borderId="2" applyAlignment="1" pivotButton="0" quotePrefix="0" xfId="0">
      <alignment horizontal="center" vertical="center" wrapText="1"/>
    </xf>
    <xf numFmtId="0" fontId="41" fillId="12" borderId="2" applyAlignment="1" pivotButton="0" quotePrefix="0" xfId="0">
      <alignment horizontal="left" vertical="top" wrapText="1"/>
    </xf>
    <xf numFmtId="0" fontId="35" fillId="4" borderId="2" applyAlignment="1" pivotButton="0" quotePrefix="0" xfId="0">
      <alignment horizontal="left" vertical="top" wrapText="1"/>
    </xf>
    <xf numFmtId="0" fontId="36" fillId="0" borderId="2" applyAlignment="1" pivotButton="0" quotePrefix="0" xfId="0">
      <alignment horizontal="left" vertical="top" wrapText="1"/>
    </xf>
    <xf numFmtId="0" fontId="34" fillId="0" borderId="2" applyAlignment="1" pivotButton="0" quotePrefix="0" xfId="0">
      <alignment horizontal="left" vertical="top" wrapText="1"/>
    </xf>
    <xf numFmtId="0" fontId="37" fillId="0" borderId="2" applyAlignment="1" pivotButton="0" quotePrefix="0" xfId="0">
      <alignment horizontal="center" vertical="top" wrapText="1"/>
    </xf>
    <xf numFmtId="9" fontId="32" fillId="0" borderId="2" applyAlignment="1" pivotButton="0" quotePrefix="0" xfId="0">
      <alignment horizontal="center" vertical="top" wrapText="1"/>
    </xf>
    <xf numFmtId="0" fontId="32" fillId="13" borderId="2" applyAlignment="1" pivotButton="0" quotePrefix="0" xfId="0">
      <alignment horizontal="left" vertical="top" wrapText="1"/>
    </xf>
    <xf numFmtId="0" fontId="37" fillId="13" borderId="2" applyAlignment="1" pivotButton="0" quotePrefix="0" xfId="0">
      <alignment horizontal="left" vertical="top" wrapText="1"/>
    </xf>
    <xf numFmtId="0" fontId="42" fillId="0" borderId="2" applyAlignment="1" pivotButton="0" quotePrefix="0" xfId="0">
      <alignment horizontal="left" vertical="top" wrapText="1"/>
    </xf>
    <xf numFmtId="0" fontId="37" fillId="0" borderId="2"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3">
    <dxf>
      <font>
        <name val="Arial"/>
        <charset val="1"/>
        <family val="0"/>
        <b val="1"/>
      </font>
      <fill>
        <patternFill>
          <bgColor rgb="FFC6EFCE"/>
        </patternFill>
      </fill>
    </dxf>
    <dxf>
      <font>
        <name val="Arial"/>
        <charset val="1"/>
        <family val="0"/>
        <b val="1"/>
      </font>
      <fill>
        <patternFill>
          <bgColor rgb="FFFFC7CE"/>
        </patternFill>
      </fill>
    </dxf>
    <dxf>
      <font>
        <name val="Arial"/>
        <charset val="1"/>
        <family val="0"/>
        <b val="1"/>
      </font>
      <fill>
        <patternFill>
          <bgColor rgb="FFFFEB9C"/>
        </patternFill>
      </fill>
    </dxf>
    <dxf>
      <font>
        <name val="Arial"/>
        <charset val="1"/>
        <family val="0"/>
        <b val="1"/>
      </font>
      <fill>
        <patternFill>
          <bgColor rgb="FFD9D9D9"/>
        </patternFill>
      </fill>
    </dxf>
    <dxf>
      <font>
        <name val="Arial"/>
        <charset val="1"/>
        <family val="0"/>
        <b val="1"/>
        <color rgb="FFC00000"/>
      </font>
    </dxf>
    <dxf>
      <font>
        <name val="Arial"/>
        <charset val="1"/>
        <family val="0"/>
        <b val="1"/>
        <color rgb="FF006100"/>
      </font>
    </dxf>
    <dxf>
      <fill>
        <patternFill>
          <bgColor rgb="FFC6EFCE"/>
        </patternFill>
      </fill>
    </dxf>
    <dxf>
      <fill>
        <patternFill>
          <bgColor rgb="FFFFC7CE"/>
        </patternFill>
      </fill>
    </dxf>
    <dxf>
      <fill>
        <patternFill patternType="solid">
          <fgColor rgb="FF1F3864"/>
          <bgColor rgb="FF000000"/>
        </patternFill>
      </fill>
    </dxf>
    <dxf>
      <fill>
        <patternFill patternType="solid">
          <fgColor rgb="FFF7F9F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808080"/>
          <bgColor rgb="FF000000"/>
        </patternFill>
      </fill>
    </dxf>
    <dxf>
      <fill>
        <patternFill patternType="solid">
          <fgColor rgb="FFFCE4D6"/>
          <bgColor rgb="FF000000"/>
        </patternFill>
      </fill>
    </dxf>
    <dxf>
      <fill>
        <patternFill patternType="solid">
          <fgColor rgb="FFC00000"/>
          <bgColor rgb="FF000000"/>
        </patternFill>
      </fill>
    </dxf>
    <dxf>
      <fill>
        <patternFill patternType="solid">
          <fgColor rgb="FFE2EFDA"/>
          <bgColor rgb="FF000000"/>
        </patternFill>
      </fill>
    </dxf>
    <dxf>
      <fill>
        <patternFill patternType="solid">
          <fgColor rgb="FFF2F2F2"/>
          <bgColor rgb="FF000000"/>
        </patternFill>
      </fill>
    </dxf>
    <dxf>
      <fill>
        <patternFill patternType="solid">
          <fgColor rgb="FFFFF2CC"/>
          <bgColor rgb="FF000000"/>
        </patternFill>
      </fill>
    </dxf>
    <dxf>
      <font>
        <name val="Arial"/>
        <charset val="1"/>
        <family val="0"/>
        <b val="1"/>
        <color rgb="FF9C0006"/>
      </font>
      <fill>
        <patternFill>
          <bgColor rgb="FFFFC7CE"/>
        </patternFill>
      </fill>
    </dxf>
    <dxf>
      <font>
        <name val="Arial"/>
        <charset val="1"/>
        <family val="0"/>
        <b val="1"/>
        <color rgb="FF9C0006"/>
      </font>
    </dxf>
    <dxf>
      <font>
        <name val="Arial"/>
        <charset val="1"/>
        <family val="0"/>
        <b val="1"/>
        <color rgb="FF7F6000"/>
      </font>
      <fill>
        <patternFill>
          <bgColor rgb="FFFFEB9C"/>
        </patternFill>
      </fill>
    </dxf>
    <dxf>
      <font>
        <name val="Arial"/>
        <charset val="1"/>
        <family val="0"/>
        <i val="1"/>
        <color rgb="FF7F7F7F"/>
      </font>
    </dxf>
  </dxfs>
  <colors>
    <indexedColors>
      <rgbColor rgb="FF000000"/>
      <rgbColor rgb="FFFFFFFF"/>
      <rgbColor rgb="FFC0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7030A0"/>
      <rgbColor rgb="FFFFF2CC"/>
      <rgbColor rgb="FFDDEBF7"/>
      <rgbColor rgb="FF660066"/>
      <rgbColor rgb="FFFF8080"/>
      <rgbColor rgb="FF0066CC"/>
      <rgbColor rgb="FFD9D9D9"/>
      <rgbColor rgb="FF000080"/>
      <rgbColor rgb="FFFF00FF"/>
      <rgbColor rgb="FFF7F9FC"/>
      <rgbColor rgb="FF00FFFF"/>
      <rgbColor rgb="FF800080"/>
      <rgbColor rgb="FF800000"/>
      <rgbColor rgb="FF008080"/>
      <rgbColor rgb="FF0000FF"/>
      <rgbColor rgb="FF00CCFF"/>
      <rgbColor rgb="FFE2EFDA"/>
      <rgbColor rgb="FFC6EFCE"/>
      <rgbColor rgb="FFFFEB9C"/>
      <rgbColor rgb="FFF2F2F2"/>
      <rgbColor rgb="FFFCE4D6"/>
      <rgbColor rgb="FFF7F7F7"/>
      <rgbColor rgb="FFFFC7CE"/>
      <rgbColor rgb="FF2E75B6"/>
      <rgbColor rgb="FF33CCCC"/>
      <rgbColor rgb="FF99CC00"/>
      <rgbColor rgb="FFFFCC00"/>
      <rgbColor rgb="FFFF9900"/>
      <rgbColor rgb="FFED7D31"/>
      <rgbColor rgb="FF666699"/>
      <rgbColor rgb="FF7F7F7F"/>
      <rgbColor rgb="FF1F3864"/>
      <rgbColor rgb="FF70AD47"/>
      <rgbColor rgb="FF003300"/>
      <rgbColor rgb="FF333300"/>
      <rgbColor rgb="FF993300"/>
      <rgbColor rgb="FF993366"/>
      <rgbColor rgb="FF333399"/>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B129"/>
  <sheetViews>
    <sheetView showFormulas="0" showGridLines="1" showRowColHeaders="1" showZeros="1" rightToLeft="0" tabSelected="0" showOutlineSymbols="1" defaultGridColor="1" view="normal" topLeftCell="A12" colorId="64" zoomScale="100" zoomScaleNormal="100" zoomScalePageLayoutView="100" workbookViewId="0">
      <selection pane="topLeft" activeCell="A1" activeCellId="0" sqref="A1"/>
    </sheetView>
  </sheetViews>
  <sheetFormatPr baseColWidth="8" defaultColWidth="8.66796875" defaultRowHeight="14.25" zeroHeight="0" outlineLevelRow="0"/>
  <cols>
    <col width="3" customWidth="1" style="124" min="1" max="1"/>
    <col width="120" customWidth="1" style="124" min="2" max="2"/>
  </cols>
  <sheetData>
    <row r="1" ht="21" customHeight="1" s="125">
      <c r="B1" s="126" t="inlineStr">
        <is>
          <t>Healthcare Interoperability Readiness Matrix for EMR Systems</t>
        </is>
      </c>
    </row>
    <row r="2" ht="30" customHeight="1" s="125">
      <c r="B2" s="127" t="inlineStr">
        <is>
          <t>Tiered (Level 0–4) conformance testing of EMR systems applying to be used in the Health Information Exchange (HIE) for patient eReferral</t>
        </is>
      </c>
    </row>
    <row r="3" ht="42" customHeight="1" s="125">
      <c r="B3" s="128" t="inlineStr">
        <is>
          <t>DRAFT — Version unreleased draft · branch certificate-demo · commit e9c2d50 (built 2026-10-16 09:44 PHT). Thresholds and policy values are PROPOSED — for DOH approval. Definitions, the Technical Baseline (TB-), Terminology &amp; Registry Sources (SRC-), FHIR Traceability (TR-), Indicator Definitions (IND-), Certification &amp; Revalidation rules and the Glossary are in the companion document "HIE System Validation — Technical Reference Guide" (the Reference Guide).</t>
        </is>
      </c>
    </row>
    <row r="4" ht="6" customHeight="1" s="125">
      <c r="B4" s="129" t="n"/>
    </row>
    <row r="5" ht="15" customHeight="1" s="125">
      <c r="B5" s="130" t="inlineStr">
        <is>
          <t>1. WHAT THIS WORKBOOK DOES</t>
        </is>
      </c>
    </row>
    <row r="6" ht="54.75" customHeight="1" s="125">
      <c r="B6" s="129" t="inlineStr">
        <is>
          <t>Decides, level by level, whether an EMR SYSTEM (the product) conforms to the national HL7 FHIR standards (PH Core and PHeReF) and may be used in the HIE for electronic referral. It tests the product on the DOH test environment (sandbox) with fictional test data only. Facility deployment (contracts, privacy registration, data sharing agreements, ICT assets, training) is outside this tool. Level 2D is security conformance testing — not a vulnerability assessment and penetration test (VAPT).</t>
        </is>
      </c>
    </row>
    <row r="7" ht="6" customHeight="1" s="125">
      <c r="B7" s="129" t="n"/>
    </row>
    <row r="8" ht="15" customHeight="1" s="125">
      <c r="B8" s="130" t="inlineStr">
        <is>
          <t>2. THE LEVELS (each level is a gate)</t>
        </is>
      </c>
    </row>
    <row r="9" ht="42" customHeight="1" s="125">
      <c r="B9" s="129" t="inlineStr">
        <is>
          <t>•  Level 0 Application &amp; Commitment  ·  Level 1 Product Documentation  ·  Level 2 Interoperability Testing — 2A TS0 Terminology &amp; Registries (test first), 2B TS1 Submission, 2C TS2 Retrieval, 2D Security, Reliability &amp; Exception Handling (TEC- security checks and TS3- exception scenarios)  ·  Level 3 Reports &amp; Dashboard  ·  Level 4 Advanced (Core-track and Maturity items).</t>
        </is>
      </c>
    </row>
    <row r="10" ht="16.5" customHeight="1" s="125">
      <c r="B10" s="129" t="inlineStr">
        <is>
          <t>•  Conformant for use in the HIE = Levels 0 to 3 PASSED and no critical item Not Met. Level 4 is the maturity target.</t>
        </is>
      </c>
    </row>
    <row r="11" ht="6" customHeight="1" s="125">
      <c r="B11" s="129" t="n"/>
    </row>
    <row r="12" ht="15" customHeight="1" s="125">
      <c r="B12" s="130" t="inlineStr">
        <is>
          <t>3. HOW TO SCORE A ROW</t>
        </is>
      </c>
    </row>
    <row r="13" ht="29.25" customHeight="1" s="125">
      <c r="B13" s="129" t="inlineStr">
        <is>
          <t>•  Binary: choose Met or Not Met.  •  Count / All-or-nothing: mark every ↳ sub-item Met / Not Met / Not Tested / N/A — the score is calculated.  •  Tier (L1-04 only): choose the integration level.</t>
        </is>
      </c>
    </row>
    <row r="14" ht="29.25" customHeight="1" s="125">
      <c r="B14" s="129" t="inlineStr">
        <is>
          <t>•  ★ / "Yes" in the Critical column = critical: it must be Met (N/A on a critical item counts as Not Met).  •  Not Tested blocks the level.  •  Always write the reason for N/A and the evidence reference in the Notes column.</t>
        </is>
      </c>
    </row>
    <row r="15" ht="29.25" customHeight="1" s="125">
      <c r="B15" s="129" t="inlineStr">
        <is>
          <t>•  Each row has a DEVELOPER'S GUIDE (what the vendor must prepare) and a VALIDATOR'S GUIDE (how to verify). Level 2 and 4 items must be confirmed with server-side evidence, not the EMR screen alone.</t>
        </is>
      </c>
    </row>
    <row r="16" ht="6" customHeight="1" s="125">
      <c r="B16" s="129" t="n"/>
    </row>
    <row r="17" ht="15" customHeight="1" s="125">
      <c r="B17" s="130" t="inlineStr">
        <is>
          <t>4. PASS RULE</t>
        </is>
      </c>
    </row>
    <row r="18" ht="29.25" customHeight="1" s="125">
      <c r="B18" s="129" t="inlineStr">
        <is>
          <t>A level PASSES only when (a) every applicable item is tested, (b) every critical item and ★ sub-item is Met, and (c) the score reaches the threshold on the Summary sheet. Level 2 needs all four parts. A level is LOCKED until the one before it passes.</t>
        </is>
      </c>
    </row>
    <row r="19" ht="6" customHeight="1" s="125">
      <c r="B19" s="129" t="n"/>
    </row>
    <row r="20" ht="15" customHeight="1" s="125">
      <c r="B20" s="130" t="inlineStr">
        <is>
          <t>5. STEP BY STEP</t>
        </is>
      </c>
    </row>
    <row r="21" ht="42" customHeight="1" s="125">
      <c r="B21" s="129" t="inlineStr">
        <is>
          <t>1) System Profile (sections A–C; section D after testing).  2) Test Data: Section A test referral, Section B 10-referral reconciliation set, Section C Level 3 edge cases (pre-loaded by the DOH), Section D error inputs for Level 2D.  3) Evaluate Level 0 → Level 4.  4) Review the Summary.  5) Print the Printed Evaluation Report (A4) and sign.</t>
        </is>
      </c>
    </row>
    <row r="22" ht="6" customHeight="1" s="125">
      <c r="B22" s="129" t="n"/>
    </row>
    <row r="23" ht="15" customHeight="1" s="125">
      <c r="B23" s="130" t="inlineStr">
        <is>
          <t>6. LEGEND</t>
        </is>
      </c>
    </row>
    <row r="24" ht="42" customHeight="1" s="125">
      <c r="B24" s="129" t="inlineStr">
        <is>
          <t>Yellow = to be filled in. Grey = not used for that scoring type. Red "Yes" = critical. Hidden columns Q–W hold calculations — do not edit. IDs are never renumbered or reused (moved / retired IDs are listed on the Summary). Items tagged "(Connectathon Issue #n)" come from the June 2026 Connectathon issue log.</t>
        </is>
      </c>
    </row>
    <row r="25" ht="29.25" customHeight="1" s="125">
      <c r="B25" s="129" t="inlineStr">
        <is>
          <t>For anything not explained here — terms, ID prefixes, baselines, named sources, FHIR mappings, indicator rules, evidence options, roles of the Regional Validation Team and certification rules — see the HIE System Validation — Technical Reference Guide.</t>
        </is>
      </c>
    </row>
    <row r="26" ht="14.25" customHeight="1" s="125">
      <c r="B26" s="129" t="n"/>
    </row>
    <row r="27" ht="14.25" customHeight="1" s="125">
      <c r="B27" s="129" t="n"/>
    </row>
    <row r="28" ht="14.25" customHeight="1" s="125">
      <c r="B28" s="129" t="n"/>
    </row>
    <row r="29" ht="14.25" customHeight="1" s="125">
      <c r="B29" s="129" t="n"/>
    </row>
    <row r="30" ht="14.25" customHeight="1" s="125">
      <c r="B30" s="129" t="n"/>
    </row>
    <row r="31" ht="14.25" customHeight="1" s="125">
      <c r="B31" s="129" t="n"/>
    </row>
    <row r="32" ht="14.25" customHeight="1" s="125">
      <c r="B32" s="129" t="n"/>
    </row>
    <row r="33" ht="14.25" customHeight="1" s="125">
      <c r="B33" s="129" t="n"/>
    </row>
    <row r="34" ht="14.25" customHeight="1" s="125">
      <c r="B34" s="129" t="n"/>
    </row>
    <row r="35" ht="14.25" customHeight="1" s="125">
      <c r="B35" s="129" t="n"/>
    </row>
    <row r="36" ht="14.25" customHeight="1" s="125">
      <c r="B36" s="129" t="n"/>
    </row>
    <row r="37" ht="14.25" customHeight="1" s="125">
      <c r="B37" s="129" t="n"/>
    </row>
    <row r="38" ht="14.25" customHeight="1" s="125">
      <c r="B38" s="129" t="n"/>
    </row>
    <row r="39" ht="14.25" customHeight="1" s="125">
      <c r="B39" s="129" t="n"/>
    </row>
    <row r="40" ht="14.25" customHeight="1" s="125">
      <c r="B40" s="129" t="n"/>
    </row>
    <row r="41" ht="14.25" customHeight="1" s="125">
      <c r="B41" s="129" t="n"/>
    </row>
    <row r="42" ht="14.25" customHeight="1" s="125">
      <c r="B42" s="129" t="n"/>
    </row>
    <row r="43" ht="14.25" customHeight="1" s="125">
      <c r="B43" s="129" t="n"/>
    </row>
    <row r="44" ht="14.25" customHeight="1" s="125">
      <c r="B44" s="129" t="n"/>
    </row>
    <row r="45" ht="14.25" customHeight="1" s="125">
      <c r="B45" s="129" t="n"/>
    </row>
    <row r="46" ht="14.25" customHeight="1" s="125">
      <c r="B46" s="129" t="n"/>
    </row>
    <row r="47" ht="14.25" customHeight="1" s="125">
      <c r="B47" s="129" t="n"/>
    </row>
    <row r="48" ht="14.25" customHeight="1" s="125">
      <c r="B48" s="129" t="n"/>
    </row>
    <row r="49" ht="14.25" customHeight="1" s="125">
      <c r="B49" s="129" t="n"/>
    </row>
    <row r="50" ht="14.25" customHeight="1" s="125">
      <c r="B50" s="129" t="n"/>
    </row>
    <row r="51" ht="14.25" customHeight="1" s="125">
      <c r="B51" s="129" t="n"/>
    </row>
    <row r="52" ht="14.25" customHeight="1" s="125">
      <c r="B52" s="129" t="n"/>
    </row>
    <row r="53" ht="14.25" customHeight="1" s="125">
      <c r="B53" s="129" t="n"/>
    </row>
    <row r="54" ht="14.25" customHeight="1" s="125">
      <c r="B54" s="129" t="n"/>
    </row>
    <row r="55" ht="14.25" customHeight="1" s="125">
      <c r="B55" s="129" t="n"/>
    </row>
    <row r="56" ht="14.25" customHeight="1" s="125">
      <c r="B56" s="129" t="n"/>
    </row>
    <row r="57" ht="14.25" customHeight="1" s="125">
      <c r="B57" s="129" t="n"/>
    </row>
    <row r="58" ht="14.25" customHeight="1" s="125">
      <c r="B58" s="129" t="n"/>
    </row>
    <row r="59" ht="14.25" customHeight="1" s="125">
      <c r="B59" s="129" t="n"/>
    </row>
    <row r="60" ht="14.25" customHeight="1" s="125">
      <c r="B60" s="129" t="n"/>
    </row>
    <row r="61" ht="14.25" customHeight="1" s="125">
      <c r="B61" s="129" t="n"/>
    </row>
    <row r="62" ht="14.25" customHeight="1" s="125">
      <c r="B62" s="129" t="n"/>
    </row>
    <row r="63" ht="14.25" customHeight="1" s="125">
      <c r="B63" s="129" t="n"/>
    </row>
    <row r="64" ht="14.25" customHeight="1" s="125">
      <c r="B64" s="129" t="n"/>
    </row>
    <row r="65" ht="14.25" customHeight="1" s="125">
      <c r="B65" s="129" t="n"/>
    </row>
    <row r="66" ht="14.25" customHeight="1" s="125">
      <c r="B66" s="129" t="n"/>
    </row>
    <row r="67" ht="14.25" customHeight="1" s="125">
      <c r="B67" s="129" t="n"/>
    </row>
    <row r="68" ht="14.25" customHeight="1" s="125">
      <c r="B68" s="129" t="n"/>
    </row>
    <row r="69" ht="14.25" customHeight="1" s="125">
      <c r="B69" s="129" t="n"/>
    </row>
    <row r="70" ht="14.25" customHeight="1" s="125">
      <c r="B70" s="129" t="n"/>
    </row>
    <row r="71" ht="14.25" customHeight="1" s="125">
      <c r="B71" s="129" t="n"/>
    </row>
    <row r="72" ht="14.25" customHeight="1" s="125">
      <c r="B72" s="129" t="n"/>
    </row>
    <row r="73" ht="14.25" customHeight="1" s="125">
      <c r="B73" s="129" t="n"/>
    </row>
    <row r="74" ht="14.25" customHeight="1" s="125">
      <c r="B74" s="129" t="n"/>
    </row>
    <row r="75" ht="14.25" customHeight="1" s="125">
      <c r="B75" s="129" t="n"/>
    </row>
    <row r="76" ht="14.25" customHeight="1" s="125">
      <c r="B76" s="129" t="n"/>
    </row>
    <row r="77" ht="14.25" customHeight="1" s="125">
      <c r="B77" s="129" t="n"/>
    </row>
    <row r="78" ht="14.25" customHeight="1" s="125">
      <c r="B78" s="129" t="n"/>
    </row>
    <row r="79" ht="14.25" customHeight="1" s="125">
      <c r="B79" s="129" t="n"/>
    </row>
    <row r="80" ht="14.25" customHeight="1" s="125">
      <c r="B80" s="129" t="n"/>
    </row>
    <row r="81" ht="14.25" customHeight="1" s="125">
      <c r="B81" s="129" t="n"/>
    </row>
    <row r="82" ht="14.25" customHeight="1" s="125">
      <c r="B82" s="129" t="n"/>
    </row>
    <row r="83" ht="14.25" customHeight="1" s="125">
      <c r="B83" s="129" t="n"/>
    </row>
    <row r="84" ht="14.25" customHeight="1" s="125">
      <c r="B84" s="129" t="n"/>
    </row>
    <row r="85" ht="14.25" customHeight="1" s="125">
      <c r="B85" s="129" t="n"/>
    </row>
    <row r="86" ht="14.25" customHeight="1" s="125">
      <c r="B86" s="129" t="n"/>
    </row>
    <row r="87" ht="14.25" customHeight="1" s="125">
      <c r="B87" s="129" t="n"/>
    </row>
    <row r="88" ht="14.25" customHeight="1" s="125">
      <c r="B88" s="129" t="n"/>
    </row>
    <row r="89" ht="14.25" customHeight="1" s="125">
      <c r="B89" s="129" t="n"/>
    </row>
    <row r="90" ht="14.25" customHeight="1" s="125">
      <c r="B90" s="129" t="n"/>
    </row>
    <row r="91" ht="14.25" customHeight="1" s="125">
      <c r="B91" s="129" t="n"/>
    </row>
    <row r="92" ht="14.25" customHeight="1" s="125">
      <c r="B92" s="129" t="n"/>
    </row>
    <row r="93" ht="14.25" customHeight="1" s="125">
      <c r="B93" s="129" t="n"/>
    </row>
    <row r="94" ht="14.25" customHeight="1" s="125">
      <c r="B94" s="129" t="n"/>
    </row>
    <row r="95" ht="14.25" customHeight="1" s="125">
      <c r="B95" s="129" t="n"/>
    </row>
    <row r="96" ht="14.25" customHeight="1" s="125">
      <c r="B96" s="129" t="n"/>
    </row>
    <row r="97" ht="14.25" customHeight="1" s="125">
      <c r="B97" s="129" t="n"/>
    </row>
    <row r="98" ht="14.25" customHeight="1" s="125">
      <c r="B98" s="129" t="n"/>
    </row>
    <row r="99" ht="14.25" customHeight="1" s="125">
      <c r="B99" s="129" t="n"/>
    </row>
    <row r="100" ht="14.25" customHeight="1" s="125">
      <c r="B100" s="129" t="n"/>
    </row>
    <row r="101" ht="14.25" customHeight="1" s="125">
      <c r="B101" s="129" t="n"/>
    </row>
    <row r="102" ht="14.25" customHeight="1" s="125">
      <c r="B102" s="129" t="n"/>
    </row>
    <row r="103" ht="14.25" customHeight="1" s="125">
      <c r="B103" s="129" t="n"/>
    </row>
    <row r="104" ht="14.25" customHeight="1" s="125">
      <c r="B104" s="129" t="n"/>
    </row>
    <row r="105" ht="14.25" customHeight="1" s="125">
      <c r="B105" s="129" t="n"/>
    </row>
    <row r="106" ht="14.25" customHeight="1" s="125">
      <c r="B106" s="129" t="n"/>
    </row>
    <row r="107" ht="14.25" customHeight="1" s="125">
      <c r="B107" s="129" t="n"/>
    </row>
    <row r="108" ht="14.25" customHeight="1" s="125">
      <c r="B108" s="129" t="n"/>
    </row>
    <row r="109" ht="14.25" customHeight="1" s="125">
      <c r="B109" s="129" t="n"/>
    </row>
    <row r="110" ht="14.25" customHeight="1" s="125">
      <c r="B110" s="129" t="n"/>
    </row>
    <row r="111" ht="14.25" customHeight="1" s="125">
      <c r="B111" s="129" t="n"/>
    </row>
    <row r="112" ht="14.25" customHeight="1" s="125">
      <c r="B112" s="129" t="n"/>
    </row>
    <row r="113" ht="14.25" customHeight="1" s="125">
      <c r="B113" s="129" t="n"/>
    </row>
    <row r="114" ht="14.25" customHeight="1" s="125">
      <c r="B114" s="129" t="n"/>
    </row>
    <row r="115" ht="14.25" customHeight="1" s="125">
      <c r="B115" s="129" t="n"/>
    </row>
    <row r="116" ht="14.25" customHeight="1" s="125">
      <c r="B116" s="129" t="n"/>
    </row>
    <row r="117" ht="14.25" customHeight="1" s="125">
      <c r="B117" s="129" t="n"/>
    </row>
    <row r="118" ht="14.25" customHeight="1" s="125">
      <c r="B118" s="129" t="n"/>
    </row>
    <row r="119" ht="14.25" customHeight="1" s="125">
      <c r="B119" s="129" t="n"/>
    </row>
    <row r="120" ht="14.25" customHeight="1" s="125">
      <c r="B120" s="129" t="n"/>
    </row>
    <row r="121" ht="14.25" customHeight="1" s="125">
      <c r="B121" s="129" t="n"/>
    </row>
    <row r="122" ht="14.25" customHeight="1" s="125">
      <c r="B122" s="129" t="n"/>
    </row>
    <row r="123" ht="14.25" customHeight="1" s="125">
      <c r="B123" s="129" t="n"/>
    </row>
    <row r="124" ht="14.25" customHeight="1" s="125">
      <c r="B124" s="129" t="n"/>
    </row>
    <row r="125" ht="14.25" customHeight="1" s="125">
      <c r="B125" s="129" t="n"/>
    </row>
    <row r="126" ht="14.25" customHeight="1" s="125">
      <c r="B126" s="129" t="n"/>
    </row>
    <row r="127" ht="14.25" customHeight="1" s="125">
      <c r="B127" s="129" t="n"/>
    </row>
    <row r="128" ht="14.25" customHeight="1" s="125">
      <c r="B128" s="129" t="n"/>
    </row>
    <row r="129" ht="14.25" customHeight="1" s="125">
      <c r="B129" s="129" t="n"/>
    </row>
  </sheetData>
  <printOptions horizontalCentered="0" verticalCentered="0" headings="0" gridLines="0" gridLinesSet="1"/>
  <pageMargins left="0.75" right="0.75" top="1" bottom="1" header="0.511811023622047" footer="0.511811023622047"/>
  <pageSetup orientation="portrait" paperSize="9" scale="100" fitToHeight="0" fitToWidth="1" pageOrder="downThenOver" blackAndWhite="0" draft="0" horizontalDpi="300" verticalDpi="300" copies="1"/>
  <headerFooter>
    <oddHeader>&amp;R&amp;7 Version unreleased draft · branch certificate-demo · commit e9c2d50 · built 2026-10-16 09:44 PHT</oddHeader>
    <oddFooter>&amp;C&amp;7 Page &amp;P of &amp;N</oddFooter>
    <evenHeader/>
    <evenFooter/>
    <firstHeader/>
    <firstFooter/>
  </headerFooter>
</worksheet>
</file>

<file path=xl/worksheets/sheet2.xml><?xml version="1.0" encoding="utf-8"?>
<worksheet xmlns="http://schemas.openxmlformats.org/spreadsheetml/2006/main">
  <sheetPr filterMode="0">
    <tabColor rgb="FF1F3864"/>
    <outlinePr summaryBelow="1" summaryRight="1"/>
    <pageSetUpPr fitToPage="1"/>
  </sheetPr>
  <dimension ref="A1:I5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N11" activeCellId="0" sqref="N11"/>
    </sheetView>
  </sheetViews>
  <sheetFormatPr baseColWidth="8" defaultColWidth="8.66796875" defaultRowHeight="14.25" zeroHeight="0" outlineLevelRow="0"/>
  <cols>
    <col width="2" customWidth="1" style="124" min="1" max="1"/>
    <col width="44" customWidth="1" style="124" min="2" max="2"/>
    <col width="12" customWidth="1" style="124" min="3" max="6"/>
    <col width="14" customWidth="1" style="124" min="7" max="7"/>
    <col width="15" customWidth="1" style="124" min="8" max="8"/>
    <col width="22" customWidth="1" style="124" min="9" max="9"/>
  </cols>
  <sheetData>
    <row r="1" ht="21" customHeight="1" s="125">
      <c r="B1" s="131" t="inlineStr">
        <is>
          <t>Healthcare Interoperability Readiness Matrix for EMR Systems — Summary Scorecard</t>
        </is>
      </c>
    </row>
    <row r="2" ht="14.25" customHeight="1" s="125">
      <c r="B2" s="132" t="inlineStr">
        <is>
          <t>System under test:</t>
        </is>
      </c>
      <c r="C2" s="124">
        <f>'System Profile'!C7&amp;" "&amp;'System Profile'!C8</f>
        <v/>
      </c>
      <c r="E2" s="132" t="inlineStr">
        <is>
          <t>Service provider:</t>
        </is>
      </c>
      <c r="F2" s="124">
        <f>'System Profile'!C6</f>
        <v/>
      </c>
    </row>
    <row r="3" ht="14.25" customHeight="1" s="125">
      <c r="B3" s="132" t="inlineStr">
        <is>
          <t>Applicant category:</t>
        </is>
      </c>
      <c r="C3" s="124">
        <f>'System Profile'!C14</f>
        <v/>
      </c>
      <c r="E3" s="132" t="inlineStr">
        <is>
          <t>Application no.:</t>
        </is>
      </c>
      <c r="F3" s="124">
        <f>'System Profile'!C5</f>
        <v/>
      </c>
    </row>
    <row r="4" ht="14.25" customHeight="1" s="125">
      <c r="B4" s="133">
        <f>IF($C$23="Approved","Threshold status: APPROVED by "&amp;$C$24&amp;" on "&amp;TEXT($C$25,"dd mmm yyyy")&amp;" ("&amp;$C$26&amp;")","Threshold status: PROPOSED — for DOH approval (see Threshold Policy below)")</f>
        <v/>
      </c>
    </row>
    <row r="5"/>
    <row r="6" ht="30" customHeight="1" s="125">
      <c r="B6" s="134" t="inlineStr">
        <is>
          <t>Level</t>
        </is>
      </c>
      <c r="C6" s="134" t="inlineStr">
        <is>
          <t>Score %</t>
        </is>
      </c>
      <c r="D6" s="134" t="inlineStr">
        <is>
          <t>Pass threshold</t>
        </is>
      </c>
      <c r="E6" s="134" t="inlineStr">
        <is>
          <t>Critical not met</t>
        </is>
      </c>
      <c r="F6" s="134" t="inlineStr">
        <is>
          <t>Items not tested</t>
        </is>
      </c>
      <c r="G6" s="134" t="inlineStr">
        <is>
          <t>Evaluation progress</t>
        </is>
      </c>
      <c r="H6" s="134" t="inlineStr">
        <is>
          <t>Sheet status</t>
        </is>
      </c>
      <c r="I6" s="134" t="inlineStr">
        <is>
          <t>LEVEL STATUS (gated)</t>
        </is>
      </c>
    </row>
    <row r="7" ht="19.5" customHeight="1" s="125">
      <c r="B7" s="135" t="inlineStr">
        <is>
          <t>Level 0 — Application &amp; Commitment</t>
        </is>
      </c>
      <c r="C7" s="136">
        <f>'L0 Application'!D4</f>
        <v/>
      </c>
      <c r="D7" s="137" t="n">
        <v>0.9</v>
      </c>
      <c r="E7" s="138">
        <f>'L0 Application'!D6</f>
        <v/>
      </c>
      <c r="F7" s="138">
        <f>'L0 Application'!F4</f>
        <v/>
      </c>
      <c r="G7" s="139">
        <f>'L0 Application'!D7</f>
        <v/>
      </c>
      <c r="H7" s="138">
        <f>'L0 Application'!F6</f>
        <v/>
      </c>
      <c r="I7" s="140">
        <f>H7</f>
        <v/>
      </c>
    </row>
    <row r="8" ht="19.5" customHeight="1" s="125">
      <c r="B8" s="135" t="inlineStr">
        <is>
          <t>Level 1 — Product Documentation</t>
        </is>
      </c>
      <c r="C8" s="136">
        <f>'L1 Documentation'!D4</f>
        <v/>
      </c>
      <c r="D8" s="137" t="n">
        <v>0.85</v>
      </c>
      <c r="E8" s="138">
        <f>'L1 Documentation'!D6</f>
        <v/>
      </c>
      <c r="F8" s="138">
        <f>'L1 Documentation'!F4</f>
        <v/>
      </c>
      <c r="G8" s="139">
        <f>'L1 Documentation'!D7</f>
        <v/>
      </c>
      <c r="H8" s="138">
        <f>'L1 Documentation'!F6</f>
        <v/>
      </c>
      <c r="I8" s="140">
        <f>IF(I7&lt;&gt;"PASSED","LOCKED",H8)</f>
        <v/>
      </c>
    </row>
    <row r="9" ht="19.5" customHeight="1" s="125">
      <c r="B9" s="135" t="inlineStr">
        <is>
          <t>Level 2 — Interoperability Testing (all parts)</t>
        </is>
      </c>
      <c r="C9" s="136">
        <f>IF((SUM('L2-A TS0-Terminology'!Q10:Q300)+SUM('L2-B TS1-Submission'!Q10:Q300)+SUM('L2-C TS2-Retrieval'!Q10:Q300)+SUM('L2-D System Resilience'!Q10:Q300))=0,0,(SUM('L2-A TS0-Terminology'!R10:R300)+SUM('L2-B TS1-Submission'!R10:R300)+SUM('L2-C TS2-Retrieval'!R10:R300)+SUM('L2-D System Resilience'!R10:R300))/(SUM('L2-A TS0-Terminology'!Q10:Q300)+SUM('L2-B TS1-Submission'!Q10:Q300)+SUM('L2-C TS2-Retrieval'!Q10:Q300)+SUM('L2-D System Resilience'!Q10:Q300)))</f>
        <v/>
      </c>
      <c r="D9" s="141" t="inlineStr">
        <is>
          <t>All parts</t>
        </is>
      </c>
      <c r="E9" s="142">
        <f>SUM(E10:E13)</f>
        <v/>
      </c>
      <c r="F9" s="142">
        <f>SUM(F10:F13)</f>
        <v/>
      </c>
      <c r="G9" s="139">
        <f>IF(('L2-A TS0-Terminology'!F7+'L2-B TS1-Submission'!F7+'L2-C TS2-Retrieval'!F7+'L2-D System Resilience'!F7)=0,0,(('L2-A TS0-Terminology'!F7+'L2-B TS1-Submission'!F7+'L2-C TS2-Retrieval'!F7+'L2-D System Resilience'!F7)-F9)/('L2-A TS0-Terminology'!F7+'L2-B TS1-Submission'!F7+'L2-C TS2-Retrieval'!F7+'L2-D System Resilience'!F7))</f>
        <v/>
      </c>
      <c r="H9" s="138">
        <f>IF(F9&gt;0,"INCOMPLETE",IF(AND(H10="PASSED",H11="PASSED",H12="PASSED",H13="PASSED"),"PASSED","NOT PASSED"))</f>
        <v/>
      </c>
      <c r="I9" s="140">
        <f>IF(I8&lt;&gt;"PASSED","LOCKED",H9)</f>
        <v/>
      </c>
    </row>
    <row r="10" ht="19.5" customHeight="1" s="125">
      <c r="B10" s="143" t="inlineStr">
        <is>
          <t xml:space="preserve">     2A  TS0 Terminology &amp; Registries (gate)</t>
        </is>
      </c>
      <c r="C10" s="144">
        <f>'L2-A TS0-Terminology'!D4</f>
        <v/>
      </c>
      <c r="D10" s="137" t="n">
        <v>0.85</v>
      </c>
      <c r="E10" s="144">
        <f>'L2-A TS0-Terminology'!D6</f>
        <v/>
      </c>
      <c r="F10" s="144">
        <f>'L2-A TS0-Terminology'!F4</f>
        <v/>
      </c>
      <c r="G10" s="145">
        <f>'L2-A TS0-Terminology'!D7</f>
        <v/>
      </c>
      <c r="H10" s="144">
        <f>'L2-A TS0-Terminology'!F6</f>
        <v/>
      </c>
      <c r="I10" s="146" t="inlineStr">
        <is>
          <t>(part of Level 2)</t>
        </is>
      </c>
    </row>
    <row r="11" ht="19.5" customHeight="1" s="125">
      <c r="B11" s="143" t="inlineStr">
        <is>
          <t xml:space="preserve">     2B  TS1 eReferral Submission</t>
        </is>
      </c>
      <c r="C11" s="144">
        <f>'L2-B TS1-Submission'!D4</f>
        <v/>
      </c>
      <c r="D11" s="137" t="n">
        <v>0.85</v>
      </c>
      <c r="E11" s="144">
        <f>'L2-B TS1-Submission'!D6</f>
        <v/>
      </c>
      <c r="F11" s="144">
        <f>'L2-B TS1-Submission'!F4</f>
        <v/>
      </c>
      <c r="G11" s="145">
        <f>'L2-B TS1-Submission'!D7</f>
        <v/>
      </c>
      <c r="H11" s="144">
        <f>'L2-B TS1-Submission'!F6</f>
        <v/>
      </c>
      <c r="I11" s="146" t="inlineStr">
        <is>
          <t>(part of Level 2)</t>
        </is>
      </c>
    </row>
    <row r="12" ht="19.5" customHeight="1" s="125">
      <c r="B12" s="143" t="inlineStr">
        <is>
          <t xml:space="preserve">     2C  TS2 eReferral Retrieval</t>
        </is>
      </c>
      <c r="C12" s="144">
        <f>'L2-C TS2-Retrieval'!D4</f>
        <v/>
      </c>
      <c r="D12" s="137" t="n">
        <v>0.85</v>
      </c>
      <c r="E12" s="144">
        <f>'L2-C TS2-Retrieval'!D6</f>
        <v/>
      </c>
      <c r="F12" s="144">
        <f>'L2-C TS2-Retrieval'!F4</f>
        <v/>
      </c>
      <c r="G12" s="145">
        <f>'L2-C TS2-Retrieval'!D7</f>
        <v/>
      </c>
      <c r="H12" s="144">
        <f>'L2-C TS2-Retrieval'!F6</f>
        <v/>
      </c>
      <c r="I12" s="146" t="inlineStr">
        <is>
          <t>(part of Level 2)</t>
        </is>
      </c>
    </row>
    <row r="13" ht="19.5" customHeight="1" s="125">
      <c r="B13" s="143" t="inlineStr">
        <is>
          <t xml:space="preserve">     2D  Security, Reliability &amp; Exception Handling</t>
        </is>
      </c>
      <c r="C13" s="144">
        <f>'L2-D System Resilience'!D4</f>
        <v/>
      </c>
      <c r="D13" s="137" t="n">
        <v>0.85</v>
      </c>
      <c r="E13" s="144">
        <f>'L2-D System Resilience'!D6</f>
        <v/>
      </c>
      <c r="F13" s="144">
        <f>'L2-D System Resilience'!F4</f>
        <v/>
      </c>
      <c r="G13" s="145">
        <f>'L2-D System Resilience'!D7</f>
        <v/>
      </c>
      <c r="H13" s="144">
        <f>'L2-D System Resilience'!F6</f>
        <v/>
      </c>
      <c r="I13" s="146" t="inlineStr">
        <is>
          <t>(part of Level 2)</t>
        </is>
      </c>
    </row>
    <row r="14" ht="19.5" customHeight="1" s="125">
      <c r="B14" s="135" t="inlineStr">
        <is>
          <t>Level 3 — Reports &amp; Dashboard</t>
        </is>
      </c>
      <c r="C14" s="136">
        <f>'L3 Reports'!D4</f>
        <v/>
      </c>
      <c r="D14" s="137" t="n">
        <v>0.85</v>
      </c>
      <c r="E14" s="138">
        <f>'L3 Reports'!D6</f>
        <v/>
      </c>
      <c r="F14" s="138">
        <f>'L3 Reports'!F4</f>
        <v/>
      </c>
      <c r="G14" s="139">
        <f>'L3 Reports'!D7</f>
        <v/>
      </c>
      <c r="H14" s="138">
        <f>'L3 Reports'!F6</f>
        <v/>
      </c>
      <c r="I14" s="140">
        <f>IF(I9&lt;&gt;"PASSED","LOCKED",H14)</f>
        <v/>
      </c>
    </row>
    <row r="15" ht="19.5" customHeight="1" s="125">
      <c r="B15" s="135" t="inlineStr">
        <is>
          <t>Level 4 — Advanced Interoperability</t>
        </is>
      </c>
      <c r="C15" s="136">
        <f>'L4 Advanced'!D4</f>
        <v/>
      </c>
      <c r="D15" s="137" t="n">
        <v>0.75</v>
      </c>
      <c r="E15" s="138">
        <f>'L4 Advanced'!D6</f>
        <v/>
      </c>
      <c r="F15" s="138">
        <f>'L4 Advanced'!F4</f>
        <v/>
      </c>
      <c r="G15" s="139">
        <f>'L4 Advanced'!D7</f>
        <v/>
      </c>
      <c r="H15" s="138">
        <f>'L4 Advanced'!F6</f>
        <v/>
      </c>
      <c r="I15" s="140">
        <f>IF(I14&lt;&gt;"PASSED","LOCKED",H15)</f>
        <v/>
      </c>
    </row>
    <row r="16"/>
    <row r="17"/>
    <row r="18" ht="18" customHeight="1" s="125">
      <c r="B18" s="147" t="inlineStr">
        <is>
          <t>HIGHEST LEVEL ACHIEVED</t>
        </is>
      </c>
      <c r="C18" s="148">
        <f>IF(I7&lt;&gt;"PASSED","None yet",IF(I8&lt;&gt;"PASSED","Level 0",IF(I9&lt;&gt;"PASSED","Level 1",IF(I14&lt;&gt;"PASSED","Level 2",IF(I15&lt;&gt;"PASSED","Level 3","Level 4")))))</f>
        <v/>
      </c>
    </row>
    <row r="19" ht="18" customHeight="1" s="125">
      <c r="B19" s="149" t="inlineStr">
        <is>
          <t>Conformant for use in the HIE?</t>
        </is>
      </c>
      <c r="C19" s="149">
        <f>IF(I14="PASSED","YES — Levels 0 to 3 passed; system may be offered to HIE facilities (Level 4 = advanced)"&amp;IF($C$23&lt;&gt;"Approved"," — PROVISIONAL: pass thresholds not yet approved",""),"NOT YET")</f>
        <v/>
      </c>
    </row>
    <row r="20"/>
    <row r="21" ht="14.25" customHeight="1" s="125">
      <c r="B21" s="149" t="inlineStr">
        <is>
          <t>THRESHOLD POLICY (pass thresholds in column D above, and policy defaults in the Reference Guide, Ch. 3 and 7)</t>
        </is>
      </c>
    </row>
    <row r="22" ht="25.5" customHeight="1" s="125">
      <c r="B22" s="150" t="inlineStr">
        <is>
          <t>Thresholds are DOH policy, not evaluator choices. Change the status to Approved only after approval is recorded; lock column D afterwards. All systems are evaluated against the same approved values.</t>
        </is>
      </c>
    </row>
    <row r="23" ht="14.25" customHeight="1" s="125">
      <c r="B23" s="151" t="inlineStr">
        <is>
          <t>Policy status</t>
        </is>
      </c>
      <c r="C23" s="152" t="inlineStr">
        <is>
          <t>Proposed</t>
        </is>
      </c>
      <c r="D23" s="153" t="n"/>
      <c r="E23" s="154" t="n"/>
      <c r="F23" s="155">
        <f>IF(AND($C$23="Approved",OR($C$24="",$C$25="",$C$26="")),"⚠ Complete the approval details","")</f>
        <v/>
      </c>
    </row>
    <row r="24" ht="14.25" customHeight="1" s="125">
      <c r="B24" s="151" t="inlineStr">
        <is>
          <t>Approved by (body / meeting)</t>
        </is>
      </c>
      <c r="C24" s="152" t="n"/>
      <c r="D24" s="153" t="n"/>
      <c r="E24" s="154" t="n"/>
    </row>
    <row r="25" ht="14.25" customHeight="1" s="125">
      <c r="B25" s="151" t="inlineStr">
        <is>
          <t>Date approved</t>
        </is>
      </c>
      <c r="C25" s="156" t="n"/>
      <c r="D25" s="153" t="n"/>
      <c r="E25" s="154" t="n"/>
    </row>
    <row r="26" ht="14.25" customHeight="1" s="125">
      <c r="B26" s="151" t="inlineStr">
        <is>
          <t>Reference (resolution / minutes no.)</t>
        </is>
      </c>
      <c r="C26" s="152" t="n"/>
      <c r="D26" s="153" t="n"/>
      <c r="E26" s="154" t="n"/>
    </row>
    <row r="27"/>
    <row r="28" ht="14.25" customHeight="1" s="125">
      <c r="B28" s="149" t="inlineStr">
        <is>
          <t>COUNT REGISTER — live counts; quote these figures in presentations and review documents</t>
        </is>
      </c>
    </row>
    <row r="29" ht="30" customHeight="1" s="125">
      <c r="B29" s="157" t="inlineStr">
        <is>
          <t>Sheet / part</t>
        </is>
      </c>
      <c r="C29" s="157" t="inlineStr">
        <is>
          <t>Criteria</t>
        </is>
      </c>
      <c r="D29" s="157" t="inlineStr">
        <is>
          <t>Critical criteria</t>
        </is>
      </c>
      <c r="E29" s="157" t="inlineStr">
        <is>
          <t>★ critical sub-items</t>
        </is>
      </c>
      <c r="F29" s="157" t="inlineStr">
        <is>
          <t>Sub-items</t>
        </is>
      </c>
      <c r="G29" s="157" t="inlineStr">
        <is>
          <t>Info-only (W0)</t>
        </is>
      </c>
      <c r="H29" s="157" t="inlineStr">
        <is>
          <t>Scored criteria</t>
        </is>
      </c>
      <c r="I29" s="157" t="inlineStr">
        <is>
          <t>Pass threshold</t>
        </is>
      </c>
    </row>
    <row r="30" ht="14.25" customHeight="1" s="125">
      <c r="B30" s="151" t="inlineStr">
        <is>
          <t>Level 0</t>
        </is>
      </c>
      <c r="C30" s="158">
        <f>COUNTIF('L0 Application'!$T$10:$T$300,"Criterion")</f>
        <v/>
      </c>
      <c r="D30" s="158">
        <f>COUNTIFS('L0 Application'!$H$10:$H$300,"Yes",'L0 Application'!$T$10:$T$300,"Criterion")</f>
        <v/>
      </c>
      <c r="E30" s="158">
        <f>COUNTIFS('L0 Application'!$H$10:$H$300,"Yes",'L0 Application'!$T$10:$T$300,"Sub")</f>
        <v/>
      </c>
      <c r="F30" s="158">
        <f>COUNTIF('L0 Application'!$T$10:$T$300,"Sub")</f>
        <v/>
      </c>
      <c r="G30" s="158">
        <f>COUNTIFS('L0 Application'!$I$10:$I$300,0,'L0 Application'!$T$10:$T$300,"Criterion")</f>
        <v/>
      </c>
      <c r="H30" s="158">
        <f>C30-G30</f>
        <v/>
      </c>
      <c r="I30" s="159">
        <f>D7</f>
        <v/>
      </c>
    </row>
    <row r="31" ht="14.25" customHeight="1" s="125">
      <c r="B31" s="151" t="inlineStr">
        <is>
          <t>Level 1</t>
        </is>
      </c>
      <c r="C31" s="158">
        <f>COUNTIF('L1 Documentation'!$T$10:$T$300,"Criterion")</f>
        <v/>
      </c>
      <c r="D31" s="158">
        <f>COUNTIFS('L1 Documentation'!$H$10:$H$300,"Yes",'L1 Documentation'!$T$10:$T$300,"Criterion")</f>
        <v/>
      </c>
      <c r="E31" s="158">
        <f>COUNTIFS('L1 Documentation'!$H$10:$H$300,"Yes",'L1 Documentation'!$T$10:$T$300,"Sub")</f>
        <v/>
      </c>
      <c r="F31" s="158">
        <f>COUNTIF('L1 Documentation'!$T$10:$T$300,"Sub")</f>
        <v/>
      </c>
      <c r="G31" s="158">
        <f>COUNTIFS('L1 Documentation'!$I$10:$I$300,0,'L1 Documentation'!$T$10:$T$300,"Criterion")</f>
        <v/>
      </c>
      <c r="H31" s="158">
        <f>C31-G31</f>
        <v/>
      </c>
      <c r="I31" s="159">
        <f>D8</f>
        <v/>
      </c>
    </row>
    <row r="32" ht="14.25" customHeight="1" s="125">
      <c r="B32" s="151" t="inlineStr">
        <is>
          <t>2A TS0</t>
        </is>
      </c>
      <c r="C32" s="158">
        <f>COUNTIF('L2-A TS0-Terminology'!$T$10:$T$300,"Criterion")</f>
        <v/>
      </c>
      <c r="D32" s="158">
        <f>COUNTIFS('L2-A TS0-Terminology'!$H$10:$H$300,"Yes",'L2-A TS0-Terminology'!$T$10:$T$300,"Criterion")</f>
        <v/>
      </c>
      <c r="E32" s="158">
        <f>COUNTIFS('L2-A TS0-Terminology'!$H$10:$H$300,"Yes",'L2-A TS0-Terminology'!$T$10:$T$300,"Sub")</f>
        <v/>
      </c>
      <c r="F32" s="158">
        <f>COUNTIF('L2-A TS0-Terminology'!$T$10:$T$300,"Sub")</f>
        <v/>
      </c>
      <c r="G32" s="158">
        <f>COUNTIFS('L2-A TS0-Terminology'!$I$10:$I$300,0,'L2-A TS0-Terminology'!$T$10:$T$300,"Criterion")</f>
        <v/>
      </c>
      <c r="H32" s="158">
        <f>C32-G32</f>
        <v/>
      </c>
      <c r="I32" s="159">
        <f>D10</f>
        <v/>
      </c>
    </row>
    <row r="33" ht="14.25" customHeight="1" s="125">
      <c r="B33" s="151" t="inlineStr">
        <is>
          <t>2B TS1</t>
        </is>
      </c>
      <c r="C33" s="158">
        <f>COUNTIF('L2-B TS1-Submission'!$T$10:$T$300,"Criterion")</f>
        <v/>
      </c>
      <c r="D33" s="158">
        <f>COUNTIFS('L2-B TS1-Submission'!$H$10:$H$300,"Yes",'L2-B TS1-Submission'!$T$10:$T$300,"Criterion")</f>
        <v/>
      </c>
      <c r="E33" s="158">
        <f>COUNTIFS('L2-B TS1-Submission'!$H$10:$H$300,"Yes",'L2-B TS1-Submission'!$T$10:$T$300,"Sub")</f>
        <v/>
      </c>
      <c r="F33" s="158">
        <f>COUNTIF('L2-B TS1-Submission'!$T$10:$T$300,"Sub")</f>
        <v/>
      </c>
      <c r="G33" s="158">
        <f>COUNTIFS('L2-B TS1-Submission'!$I$10:$I$300,0,'L2-B TS1-Submission'!$T$10:$T$300,"Criterion")</f>
        <v/>
      </c>
      <c r="H33" s="158">
        <f>C33-G33</f>
        <v/>
      </c>
      <c r="I33" s="159">
        <f>D11</f>
        <v/>
      </c>
    </row>
    <row r="34" ht="14.25" customHeight="1" s="125">
      <c r="B34" s="151" t="inlineStr">
        <is>
          <t>2C TS2</t>
        </is>
      </c>
      <c r="C34" s="158">
        <f>COUNTIF('L2-C TS2-Retrieval'!$T$10:$T$300,"Criterion")</f>
        <v/>
      </c>
      <c r="D34" s="158">
        <f>COUNTIFS('L2-C TS2-Retrieval'!$H$10:$H$300,"Yes",'L2-C TS2-Retrieval'!$T$10:$T$300,"Criterion")</f>
        <v/>
      </c>
      <c r="E34" s="158">
        <f>COUNTIFS('L2-C TS2-Retrieval'!$H$10:$H$300,"Yes",'L2-C TS2-Retrieval'!$T$10:$T$300,"Sub")</f>
        <v/>
      </c>
      <c r="F34" s="158">
        <f>COUNTIF('L2-C TS2-Retrieval'!$T$10:$T$300,"Sub")</f>
        <v/>
      </c>
      <c r="G34" s="158">
        <f>COUNTIFS('L2-C TS2-Retrieval'!$I$10:$I$300,0,'L2-C TS2-Retrieval'!$T$10:$T$300,"Criterion")</f>
        <v/>
      </c>
      <c r="H34" s="158">
        <f>C34-G34</f>
        <v/>
      </c>
      <c r="I34" s="159">
        <f>D12</f>
        <v/>
      </c>
    </row>
    <row r="35" ht="14.25" customHeight="1" s="125">
      <c r="B35" s="151" t="inlineStr">
        <is>
          <t>2D Security, Reliability &amp; Exceptions</t>
        </is>
      </c>
      <c r="C35" s="158">
        <f>COUNTIF('L2-D System Resilience'!$T$10:$T$300,"Criterion")</f>
        <v/>
      </c>
      <c r="D35" s="158">
        <f>COUNTIFS('L2-D System Resilience'!$H$10:$H$300,"Yes",'L2-D System Resilience'!$T$10:$T$300,"Criterion")</f>
        <v/>
      </c>
      <c r="E35" s="158">
        <f>COUNTIFS('L2-D System Resilience'!$H$10:$H$300,"Yes",'L2-D System Resilience'!$T$10:$T$300,"Sub")</f>
        <v/>
      </c>
      <c r="F35" s="158">
        <f>COUNTIF('L2-D System Resilience'!$T$10:$T$300,"Sub")</f>
        <v/>
      </c>
      <c r="G35" s="158">
        <f>COUNTIFS('L2-D System Resilience'!$I$10:$I$300,0,'L2-D System Resilience'!$T$10:$T$300,"Criterion")</f>
        <v/>
      </c>
      <c r="H35" s="158">
        <f>C35-G35</f>
        <v/>
      </c>
      <c r="I35" s="159">
        <f>D13</f>
        <v/>
      </c>
    </row>
    <row r="36" ht="14.25" customHeight="1" s="125">
      <c r="B36" s="151" t="inlineStr">
        <is>
          <t>Level 3</t>
        </is>
      </c>
      <c r="C36" s="158">
        <f>COUNTIF('L3 Reports'!$T$10:$T$300,"Criterion")</f>
        <v/>
      </c>
      <c r="D36" s="158">
        <f>COUNTIFS('L3 Reports'!$H$10:$H$300,"Yes",'L3 Reports'!$T$10:$T$300,"Criterion")</f>
        <v/>
      </c>
      <c r="E36" s="158">
        <f>COUNTIFS('L3 Reports'!$H$10:$H$300,"Yes",'L3 Reports'!$T$10:$T$300,"Sub")</f>
        <v/>
      </c>
      <c r="F36" s="158">
        <f>COUNTIF('L3 Reports'!$T$10:$T$300,"Sub")</f>
        <v/>
      </c>
      <c r="G36" s="158">
        <f>COUNTIFS('L3 Reports'!$I$10:$I$300,0,'L3 Reports'!$T$10:$T$300,"Criterion")</f>
        <v/>
      </c>
      <c r="H36" s="158">
        <f>C36-G36</f>
        <v/>
      </c>
      <c r="I36" s="159">
        <f>D14</f>
        <v/>
      </c>
    </row>
    <row r="37" ht="14.25" customHeight="1" s="125">
      <c r="B37" s="151" t="inlineStr">
        <is>
          <t>Level 4</t>
        </is>
      </c>
      <c r="C37" s="158">
        <f>COUNTIF('L4 Advanced'!$T$10:$T$300,"Criterion")</f>
        <v/>
      </c>
      <c r="D37" s="158">
        <f>COUNTIFS('L4 Advanced'!$H$10:$H$300,"Yes",'L4 Advanced'!$T$10:$T$300,"Criterion")</f>
        <v/>
      </c>
      <c r="E37" s="158">
        <f>COUNTIFS('L4 Advanced'!$H$10:$H$300,"Yes",'L4 Advanced'!$T$10:$T$300,"Sub")</f>
        <v/>
      </c>
      <c r="F37" s="158">
        <f>COUNTIF('L4 Advanced'!$T$10:$T$300,"Sub")</f>
        <v/>
      </c>
      <c r="G37" s="158">
        <f>COUNTIFS('L4 Advanced'!$I$10:$I$300,0,'L4 Advanced'!$T$10:$T$300,"Criterion")</f>
        <v/>
      </c>
      <c r="H37" s="158">
        <f>C37-G37</f>
        <v/>
      </c>
      <c r="I37" s="159">
        <f>D15</f>
        <v/>
      </c>
    </row>
    <row r="38" ht="14.25" customHeight="1" s="125">
      <c r="B38" s="151" t="inlineStr">
        <is>
          <t>TOTAL (all levels)</t>
        </is>
      </c>
      <c r="C38" s="160">
        <f>SUM(C30:C37)</f>
        <v/>
      </c>
      <c r="D38" s="160">
        <f>SUM(D30:D37)</f>
        <v/>
      </c>
      <c r="E38" s="160">
        <f>SUM(E30:E37)</f>
        <v/>
      </c>
      <c r="F38" s="160">
        <f>SUM(F30:F37)</f>
        <v/>
      </c>
      <c r="G38" s="160">
        <f>SUM(G30:G37)</f>
        <v/>
      </c>
      <c r="H38" s="160">
        <f>SUM(H30:H37)</f>
        <v/>
      </c>
    </row>
    <row r="39" ht="14.25" customHeight="1" s="125">
      <c r="B39" s="151" t="inlineStr">
        <is>
          <t>of which Level 2 (all four parts)</t>
        </is>
      </c>
      <c r="C39" s="158">
        <f>SUM(C32:C35)</f>
        <v/>
      </c>
      <c r="D39" s="158">
        <f>SUM(D32:D35)</f>
        <v/>
      </c>
      <c r="E39" s="158">
        <f>SUM(E32:E35)</f>
        <v/>
      </c>
      <c r="F39" s="158">
        <f>SUM(F32:F35)</f>
        <v/>
      </c>
      <c r="G39" s="158">
        <f>SUM(G32:G35)</f>
        <v/>
      </c>
      <c r="H39" s="158">
        <f>SUM(H32:H35)</f>
        <v/>
      </c>
    </row>
    <row r="40"/>
    <row r="41" ht="14.25" customHeight="1" s="125">
      <c r="B41" s="149" t="inlineStr">
        <is>
          <t>RETIRED / MOVED CRITERION IDs — IDs are never renumbered or reused</t>
        </is>
      </c>
    </row>
    <row r="42" ht="23.85" customHeight="1" s="125">
      <c r="B42" s="157" t="inlineStr">
        <is>
          <t>ID</t>
        </is>
      </c>
      <c r="C42" s="157" t="inlineStr">
        <is>
          <t>Revision</t>
        </is>
      </c>
      <c r="D42" s="157" t="inlineStr">
        <is>
          <t>Action</t>
        </is>
      </c>
      <c r="E42" s="157" t="inlineStr">
        <is>
          <t>Now tested in</t>
        </is>
      </c>
      <c r="F42" s="157" t="inlineStr">
        <is>
          <t>Reason</t>
        </is>
      </c>
      <c r="G42" s="153" t="n"/>
      <c r="H42" s="153" t="n"/>
      <c r="I42" s="154" t="n"/>
    </row>
    <row r="43" s="125">
      <c r="B43" s="151" t="inlineStr">
        <is>
          <t>TEC-06</t>
        </is>
      </c>
      <c r="C43" s="161" t="inlineStr">
        <is>
          <t>Rev 7</t>
        </is>
      </c>
      <c r="D43" s="161" t="inlineStr">
        <is>
          <t>Moved</t>
        </is>
      </c>
      <c r="E43" s="161" t="inlineStr">
        <is>
          <t>TS3-05</t>
        </is>
      </c>
      <c r="F43" s="161" t="inlineStr">
        <is>
          <t>Downtime handling now tested with retry / duplication checks in the TS3 exception scenarios of Level 2D.</t>
        </is>
      </c>
      <c r="G43" s="153" t="n"/>
      <c r="H43" s="153" t="n"/>
      <c r="I43" s="154" t="n"/>
    </row>
    <row r="44" s="125">
      <c r="B44" s="151" t="inlineStr">
        <is>
          <t>L4-06</t>
        </is>
      </c>
      <c r="C44" s="161" t="inlineStr">
        <is>
          <t>Rev 7</t>
        </is>
      </c>
      <c r="D44" s="161" t="inlineStr">
        <is>
          <t>Moved</t>
        </is>
      </c>
      <c r="E44" s="161" t="inlineStr">
        <is>
          <t>TS2-13</t>
        </is>
      </c>
      <c r="F44" s="161" t="inlineStr">
        <is>
          <t>Status timestamps are fundamental — now critical in Level 2.</t>
        </is>
      </c>
      <c r="G44" s="153" t="n"/>
      <c r="H44" s="153" t="n"/>
      <c r="I44" s="154" t="n"/>
    </row>
    <row r="45" s="125">
      <c r="B45" s="151" t="inlineStr">
        <is>
          <t>L4-08</t>
        </is>
      </c>
      <c r="C45" s="161" t="inlineStr">
        <is>
          <t>Rev 7</t>
        </is>
      </c>
      <c r="D45" s="161" t="inlineStr">
        <is>
          <t>Moved</t>
        </is>
      </c>
      <c r="E45" s="161" t="inlineStr">
        <is>
          <t>TS1-16</t>
        </is>
      </c>
      <c r="F45" s="161" t="inlineStr">
        <is>
          <t>Patient de-duplication is fundamental — now critical in Level 2.</t>
        </is>
      </c>
      <c r="G45" s="153" t="n"/>
      <c r="H45" s="153" t="n"/>
      <c r="I45" s="154" t="n"/>
    </row>
    <row r="46" s="125">
      <c r="B46" s="151" t="inlineStr">
        <is>
          <t>L4-09</t>
        </is>
      </c>
      <c r="C46" s="161" t="inlineStr">
        <is>
          <t>Rev 7</t>
        </is>
      </c>
      <c r="D46" s="161" t="inlineStr">
        <is>
          <t>Merged</t>
        </is>
      </c>
      <c r="E46" s="161" t="inlineStr">
        <is>
          <t>TS0-06.2</t>
        </is>
      </c>
      <c r="F46" s="161" t="inlineStr">
        <is>
          <t>NHFR-sourced facility data checked with the NHFR critical sub-item.</t>
        </is>
      </c>
      <c r="G46" s="153" t="n"/>
      <c r="H46" s="153" t="n"/>
      <c r="I46" s="154" t="n"/>
    </row>
    <row r="47" s="125">
      <c r="B47" s="151" t="inlineStr">
        <is>
          <t>TS2-11.5</t>
        </is>
      </c>
      <c r="C47" s="161" t="inlineStr">
        <is>
          <t>Rev 7</t>
        </is>
      </c>
      <c r="D47" s="161" t="inlineStr">
        <is>
          <t>Merged</t>
        </is>
      </c>
      <c r="E47" s="161" t="inlineStr">
        <is>
          <t>TS2-13.2</t>
        </is>
      </c>
      <c r="F47" s="161" t="inlineStr">
        <is>
          <t>Received date/time now checked in the status-history criterion.</t>
        </is>
      </c>
      <c r="G47" s="153" t="n"/>
      <c r="H47" s="153" t="n"/>
      <c r="I47" s="154" t="n"/>
    </row>
    <row r="48" s="125">
      <c r="B48" s="151" t="inlineStr">
        <is>
          <t>L4-07</t>
        </is>
      </c>
      <c r="C48" s="161" t="inlineStr">
        <is>
          <t>After Rev 2</t>
        </is>
      </c>
      <c r="D48" s="161" t="inlineStr">
        <is>
          <t>Moved</t>
        </is>
      </c>
      <c r="E48" s="161" t="inlineStr">
        <is>
          <t>TS0-07</t>
        </is>
      </c>
      <c r="F48" s="161" t="inlineStr">
        <is>
          <t>Identifier format validation (Connectathon Issue #5) moved to TS0-07 as a critical item. Number not reused.</t>
        </is>
      </c>
      <c r="G48" s="153" t="n"/>
      <c r="H48" s="153" t="n"/>
      <c r="I48" s="154" t="n"/>
    </row>
    <row r="49" s="125">
      <c r="B49" s="151" t="inlineStr">
        <is>
          <t>L4-12</t>
        </is>
      </c>
      <c r="C49" s="161" t="inlineStr">
        <is>
          <t>Rev 6</t>
        </is>
      </c>
      <c r="D49" s="161" t="inlineStr">
        <is>
          <t>Removed</t>
        </is>
      </c>
      <c r="E49" s="161" t="inlineStr">
        <is>
          <t>—</t>
        </is>
      </c>
      <c r="F49" s="161" t="inlineStr">
        <is>
          <t>Official conformance suite (Inferno) — removed until an official PHeReF test kit exists.</t>
        </is>
      </c>
      <c r="G49" s="153" t="n"/>
      <c r="H49" s="153" t="n"/>
      <c r="I49" s="154" t="n"/>
    </row>
    <row r="50" s="125">
      <c r="B50" s="151" t="inlineStr">
        <is>
          <t>L4-13</t>
        </is>
      </c>
      <c r="C50" s="161" t="inlineStr">
        <is>
          <t>Rev 6</t>
        </is>
      </c>
      <c r="D50" s="161" t="inlineStr">
        <is>
          <t>Removed</t>
        </is>
      </c>
      <c r="E50" s="161" t="inlineStr">
        <is>
          <t>—</t>
        </is>
      </c>
      <c r="F50" s="161" t="inlineStr">
        <is>
          <t>SMART on FHIR launch — removed; maturity target outside current scope.</t>
        </is>
      </c>
      <c r="G50" s="153" t="n"/>
      <c r="H50" s="153" t="n"/>
      <c r="I50" s="154" t="n"/>
    </row>
    <row r="51"/>
    <row r="52" ht="14.25" customHeight="1" s="125">
      <c r="B52" s="149" t="inlineStr">
        <is>
          <t>HOW TO READ THIS SHEET</t>
        </is>
      </c>
    </row>
    <row r="53" ht="27.75" customHeight="1" s="125">
      <c r="B53" s="129" t="inlineStr">
        <is>
          <t>Score % = weighted share of criteria met (count items give partial credit by count). Evaluation progress = share of items already evaluated.</t>
        </is>
      </c>
    </row>
    <row r="54" ht="27.75" customHeight="1" s="125">
      <c r="B54" s="129" t="inlineStr">
        <is>
          <t>Sheet status: INCOMPLETE (some items Not Tested) → NOT PASSED (a critical item or ★ sub-item not met, or score below threshold) → PASSED.</t>
        </is>
      </c>
    </row>
    <row r="55" ht="27.75" customHeight="1" s="125">
      <c r="B55" s="129" t="inlineStr">
        <is>
          <t>Level status (gated): a level is LOCKED until the level before it is PASSED. Level 2 passes only when all four parts pass (2A–2D).</t>
        </is>
      </c>
    </row>
    <row r="56" ht="27.75" customHeight="1" s="125">
      <c r="B56" s="129" t="inlineStr">
        <is>
          <t>Thresholds (yellow, column D) are policy settings — PROPOSED until the Threshold Policy above is set to Approved. Fix them before any evaluation begins and apply them equally to all systems.</t>
        </is>
      </c>
    </row>
    <row r="57" ht="27.75" customHeight="1" s="125">
      <c r="B57" s="129" t="inlineStr">
        <is>
          <t>Conformance assumes Level 3 is the minimum for the system to be offered to HIE facilities; Level 4 contains Core-track items (to migrate to Level 2) and Maturity items. A certificate is issued only when no critical item is Not Met (Printed Evaluation Report, section D).</t>
        </is>
      </c>
    </row>
  </sheetData>
  <mergeCells count="24">
    <mergeCell ref="F43:I43"/>
    <mergeCell ref="B54:I54"/>
    <mergeCell ref="F48:I48"/>
    <mergeCell ref="B22:I22"/>
    <mergeCell ref="C25:E25"/>
    <mergeCell ref="F49:I49"/>
    <mergeCell ref="C19:I19"/>
    <mergeCell ref="B56:I56"/>
    <mergeCell ref="B21:I21"/>
    <mergeCell ref="C23:E23"/>
    <mergeCell ref="F44:I44"/>
    <mergeCell ref="B57:I57"/>
    <mergeCell ref="B53:I53"/>
    <mergeCell ref="C18:E18"/>
    <mergeCell ref="B28:I28"/>
    <mergeCell ref="F45:I45"/>
    <mergeCell ref="C24:E24"/>
    <mergeCell ref="F42:I42"/>
    <mergeCell ref="F50:I50"/>
    <mergeCell ref="B55:I55"/>
    <mergeCell ref="F47:I47"/>
    <mergeCell ref="C26:E26"/>
    <mergeCell ref="B41:I41"/>
    <mergeCell ref="F46:I46"/>
  </mergeCells>
  <conditionalFormatting sqref="C7:C15">
    <cfRule type="dataBar" priority="2">
      <dataBar minLength="10" maxLength="90" showValue="1">
        <cfvo type="num" val="0"/>
        <cfvo type="num" val="1"/>
        <color rgb="FF5B9BD5"/>
      </dataBar>
    </cfRule>
  </conditionalFormatting>
  <conditionalFormatting sqref="G7:G15">
    <cfRule type="dataBar" priority="3">
      <dataBar minLength="10" maxLength="90" showValue="1">
        <cfvo type="num" val="0"/>
        <cfvo type="num" val="1"/>
        <color rgb="FFA9D08E"/>
      </dataBar>
    </cfRule>
  </conditionalFormatting>
  <conditionalFormatting sqref="H7:I15">
    <cfRule type="cellIs" rank="0" priority="4" equalAverage="0" operator="equal" aboveAverage="0" dxfId="0" text="" percent="0" bottom="0">
      <formula>"PASSED"</formula>
    </cfRule>
    <cfRule type="cellIs" rank="0" priority="5" equalAverage="0" operator="equal" aboveAverage="0" dxfId="1" text="" percent="0" bottom="0">
      <formula>"NOT PASSED"</formula>
    </cfRule>
    <cfRule type="cellIs" rank="0" priority="6" equalAverage="0" operator="equal" aboveAverage="0" dxfId="2" text="" percent="0" bottom="0">
      <formula>"INCOMPLETE"</formula>
    </cfRule>
    <cfRule type="cellIs" rank="0" priority="7" equalAverage="0" operator="equal" aboveAverage="0" dxfId="3" text="" percent="0" bottom="0">
      <formula>"LOCKED"</formula>
    </cfRule>
  </conditionalFormatting>
  <dataValidations count="1">
    <dataValidation sqref="C23" showDropDown="0" showInputMessage="0" showErrorMessage="0" allowBlank="0" type="list" errorStyle="stop" operator="between">
      <formula1>"Proposed,Approved"</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headerFooter>
    <oddHeader>&amp;R&amp;7 Version unreleased draft · branch certificate-demo · commit e9c2d50 · built 2026-10-16 09:44 PHT</oddHeader>
    <oddFooter>&amp;C&amp;7 Page &amp;P of &amp;N</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0"/>
  </sheetPr>
  <dimension ref="A1:E4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23" activeCellId="0" sqref="C23"/>
    </sheetView>
  </sheetViews>
  <sheetFormatPr baseColWidth="8" defaultColWidth="8.66796875" defaultRowHeight="14.25" zeroHeight="0" outlineLevelRow="0"/>
  <cols>
    <col width="7" customWidth="1" style="124" min="1" max="1"/>
    <col width="56" customWidth="1" style="124" min="2" max="2"/>
    <col width="40" customWidth="1" style="124" min="3" max="3"/>
    <col width="32" customWidth="1" style="124" min="4" max="5"/>
  </cols>
  <sheetData>
    <row r="1" ht="17.25" customHeight="1" s="125">
      <c r="A1" s="162" t="inlineStr">
        <is>
          <t>System Profile</t>
        </is>
      </c>
    </row>
    <row r="2" ht="14.25" customHeight="1" s="125">
      <c r="A2" s="163" t="inlineStr">
        <is>
          <t>Fill in the yellow cells. This information appears on the Summary sheet.</t>
        </is>
      </c>
    </row>
    <row r="3"/>
    <row r="4" ht="14.25" customHeight="1" s="125">
      <c r="A4" s="164" t="inlineStr">
        <is>
          <t>A. GENERAL INFORMATION (to be accomplished by the Service Provider)</t>
        </is>
      </c>
    </row>
    <row r="5" ht="14.25" customHeight="1" s="125">
      <c r="A5" s="135" t="inlineStr">
        <is>
          <t>A.0</t>
        </is>
      </c>
      <c r="B5" s="165" t="inlineStr">
        <is>
          <t>Application No. (assigned by the Administrator)</t>
        </is>
      </c>
      <c r="C5" s="166" t="n"/>
    </row>
    <row r="6" ht="14.25" customHeight="1" s="125">
      <c r="A6" s="135" t="inlineStr">
        <is>
          <t>A.1</t>
        </is>
      </c>
      <c r="B6" s="165" t="inlineStr">
        <is>
          <t>Name of Service Provider / Vendor</t>
        </is>
      </c>
      <c r="C6" s="166" t="n"/>
    </row>
    <row r="7" ht="14.25" customHeight="1" s="125">
      <c r="A7" s="135" t="inlineStr">
        <is>
          <t>A.2</t>
        </is>
      </c>
      <c r="B7" s="165" t="inlineStr">
        <is>
          <t>System Name</t>
        </is>
      </c>
      <c r="C7" s="166" t="n"/>
    </row>
    <row r="8" ht="14.25" customHeight="1" s="125">
      <c r="A8" s="135" t="inlineStr">
        <is>
          <t>A.3</t>
        </is>
      </c>
      <c r="B8" s="165" t="inlineStr">
        <is>
          <t>System Version / Build</t>
        </is>
      </c>
      <c r="C8" s="166" t="n"/>
    </row>
    <row r="9" ht="14.25" customHeight="1" s="125">
      <c r="A9" s="135" t="inlineStr">
        <is>
          <t>A.4</t>
        </is>
      </c>
      <c r="B9" s="165" t="inlineStr">
        <is>
          <t>Developer / Technical Contact Name</t>
        </is>
      </c>
      <c r="C9" s="166" t="n"/>
    </row>
    <row r="10" ht="14.25" customHeight="1" s="125">
      <c r="A10" s="135" t="inlineStr">
        <is>
          <t>A.5</t>
        </is>
      </c>
      <c r="B10" s="165" t="inlineStr">
        <is>
          <t>Designation</t>
        </is>
      </c>
      <c r="C10" s="166" t="n"/>
    </row>
    <row r="11" ht="14.25" customHeight="1" s="125">
      <c r="A11" s="135" t="inlineStr">
        <is>
          <t>A.6</t>
        </is>
      </c>
      <c r="B11" s="165" t="inlineStr">
        <is>
          <t>Contact Number / Email</t>
        </is>
      </c>
      <c r="C11" s="166" t="n"/>
    </row>
    <row r="12" ht="14.25" customHeight="1" s="125">
      <c r="A12" s="135" t="inlineStr">
        <is>
          <t>A.7</t>
        </is>
      </c>
      <c r="B12" s="165" t="inlineStr">
        <is>
          <t>Deployment type (Cloud / On-premise / Hybrid)</t>
        </is>
      </c>
      <c r="C12" s="166" t="n"/>
    </row>
    <row r="13" ht="14.25" customHeight="1" s="125">
      <c r="A13" s="164" t="inlineStr">
        <is>
          <t>B. APPLICANT CATEGORY</t>
        </is>
      </c>
    </row>
    <row r="14" ht="14.25" customHeight="1" s="125">
      <c r="A14" s="135" t="inlineStr">
        <is>
          <t>B.1</t>
        </is>
      </c>
      <c r="B14" s="165" t="inlineStr">
        <is>
          <t>Category (Third-party EMR provider / In-house developed system)</t>
        </is>
      </c>
      <c r="C14" s="166" t="n"/>
    </row>
    <row r="15" ht="14.25" customHeight="1" s="125">
      <c r="A15" s="135" t="inlineStr">
        <is>
          <t>B.2</t>
        </is>
      </c>
      <c r="B15" s="165" t="inlineStr">
        <is>
          <t>Date application received by DOH</t>
        </is>
      </c>
      <c r="C15" s="166" t="n"/>
    </row>
    <row r="16" ht="14.25" customHeight="1" s="125">
      <c r="A16" s="135" t="inlineStr">
        <is>
          <t>B.3</t>
        </is>
      </c>
      <c r="B16" s="165" t="inlineStr">
        <is>
          <t>Previous conformance result / reference no. (if re-evaluation)</t>
        </is>
      </c>
      <c r="C16" s="166" t="n"/>
    </row>
    <row r="17" ht="14.25" customHeight="1" s="125">
      <c r="A17" s="164" t="inlineStr">
        <is>
          <t>C. EVALUATION DETAILS — REGIONAL VALIDATION TEAM (these names appear on the Sign-Off of the Printed Evaluation Report)</t>
        </is>
      </c>
    </row>
    <row r="18" ht="14.25" customHeight="1" s="125">
      <c r="B18" s="167" t="inlineStr">
        <is>
          <t>Role</t>
        </is>
      </c>
      <c r="C18" s="167" t="inlineStr">
        <is>
          <t>Name</t>
        </is>
      </c>
      <c r="D18" s="167" t="inlineStr">
        <is>
          <t>Name of Agency</t>
        </is>
      </c>
      <c r="E18" s="167" t="inlineStr">
        <is>
          <t>Designation</t>
        </is>
      </c>
    </row>
    <row r="19" ht="14.25" customHeight="1" s="125">
      <c r="A19" s="135" t="inlineStr">
        <is>
          <t>C.1</t>
        </is>
      </c>
      <c r="B19" s="165" t="inlineStr">
        <is>
          <t>Technical Lead (required)</t>
        </is>
      </c>
      <c r="C19" s="166" t="n"/>
      <c r="D19" s="166" t="n"/>
      <c r="E19" s="166" t="n"/>
    </row>
    <row r="20" ht="14.25" customHeight="1" s="125">
      <c r="A20" s="135" t="inlineStr">
        <is>
          <t>C.2</t>
        </is>
      </c>
      <c r="B20" s="165" t="inlineStr">
        <is>
          <t>Validator 1 (required)</t>
        </is>
      </c>
      <c r="C20" s="166" t="n"/>
      <c r="D20" s="166" t="n"/>
      <c r="E20" s="166" t="n"/>
    </row>
    <row r="21" ht="14.25" customHeight="1" s="125">
      <c r="A21" s="135" t="inlineStr">
        <is>
          <t>C.3</t>
        </is>
      </c>
      <c r="B21" s="165" t="inlineStr">
        <is>
          <t>Validator 2 (required)</t>
        </is>
      </c>
      <c r="C21" s="166" t="n"/>
      <c r="D21" s="166" t="n"/>
      <c r="E21" s="166" t="n"/>
    </row>
    <row r="22" ht="14.25" customHeight="1" s="125">
      <c r="A22" s="135" t="inlineStr">
        <is>
          <t>C.4</t>
        </is>
      </c>
      <c r="B22" s="165" t="inlineStr">
        <is>
          <t>Validator 3 (optional)</t>
        </is>
      </c>
      <c r="C22" s="166" t="n"/>
      <c r="D22" s="166" t="n"/>
      <c r="E22" s="166" t="n"/>
    </row>
    <row r="23" ht="14.25" customHeight="1" s="125">
      <c r="A23" s="135" t="inlineStr">
        <is>
          <t>C.5</t>
        </is>
      </c>
      <c r="B23" s="165" t="inlineStr">
        <is>
          <t>Administrator</t>
        </is>
      </c>
      <c r="C23" s="166" t="n"/>
      <c r="D23" s="166" t="n"/>
      <c r="E23" s="166" t="n"/>
    </row>
    <row r="24" ht="14.25" customHeight="1" s="125">
      <c r="A24" s="135" t="inlineStr">
        <is>
          <t>C.6</t>
        </is>
      </c>
      <c r="B24" s="165" t="inlineStr">
        <is>
          <t>Observer 1 (required)</t>
        </is>
      </c>
      <c r="C24" s="166" t="n"/>
      <c r="D24" s="166" t="n"/>
      <c r="E24" s="166" t="n"/>
    </row>
    <row r="25" ht="14.25" customHeight="1" s="125">
      <c r="A25" s="135" t="inlineStr">
        <is>
          <t>C.7</t>
        </is>
      </c>
      <c r="B25" s="165" t="inlineStr">
        <is>
          <t>Observer 2 (optional)</t>
        </is>
      </c>
      <c r="C25" s="166" t="n"/>
      <c r="D25" s="166" t="n"/>
      <c r="E25" s="166" t="n"/>
    </row>
    <row r="26" ht="14.25" customHeight="1" s="125">
      <c r="B26" s="135" t="inlineStr">
        <is>
          <t>Team composition check</t>
        </is>
      </c>
      <c r="C26" s="168">
        <f>IF(AND(C19&lt;&gt;"",COUNTA(C20:C22)&gt;=2,COUNTA(C24:C25)&gt;=1),"✓ Complete — "&amp;COUNTA(C20:C22)&amp;" validator(s), "&amp;COUNTA(C24:C25)&amp;" observer(s)","Incomplete — requires a Technical Lead, 2 to 3 validators and 1 to 2 observers")</f>
        <v/>
      </c>
      <c r="D26" s="153" t="n"/>
      <c r="E26" s="154" t="n"/>
    </row>
    <row r="27" ht="14.25" customHeight="1" s="125">
      <c r="A27" s="135" t="inlineStr">
        <is>
          <t>C.8</t>
        </is>
      </c>
      <c r="B27" s="165" t="inlineStr">
        <is>
          <t>Date(s) of evaluation — Level 0</t>
        </is>
      </c>
      <c r="C27" s="166" t="n"/>
    </row>
    <row r="28" ht="14.25" customHeight="1" s="125">
      <c r="A28" s="135" t="inlineStr">
        <is>
          <t>C.9</t>
        </is>
      </c>
      <c r="B28" s="165" t="inlineStr">
        <is>
          <t>Date(s) of evaluation — Level 1</t>
        </is>
      </c>
      <c r="C28" s="166" t="n"/>
    </row>
    <row r="29" ht="14.25" customHeight="1" s="125">
      <c r="A29" s="135" t="inlineStr">
        <is>
          <t>C.10</t>
        </is>
      </c>
      <c r="B29" s="165" t="inlineStr">
        <is>
          <t>Date(s) of evaluation — Level 2</t>
        </is>
      </c>
      <c r="C29" s="166" t="n"/>
    </row>
    <row r="30" ht="14.25" customHeight="1" s="125">
      <c r="A30" s="135" t="inlineStr">
        <is>
          <t>C.11</t>
        </is>
      </c>
      <c r="B30" s="165" t="inlineStr">
        <is>
          <t>Date(s) of evaluation — Level 3</t>
        </is>
      </c>
      <c r="C30" s="166" t="n"/>
    </row>
    <row r="31" ht="14.25" customHeight="1" s="125">
      <c r="A31" s="135" t="inlineStr">
        <is>
          <t>C.12</t>
        </is>
      </c>
      <c r="B31" s="165" t="inlineStr">
        <is>
          <t>Date(s) of evaluation — Level 4</t>
        </is>
      </c>
      <c r="C31" s="166" t="n"/>
    </row>
    <row r="32" ht="14.25" customHeight="1" s="125">
      <c r="A32" s="135" t="inlineStr">
        <is>
          <t>C.13</t>
        </is>
      </c>
      <c r="B32" s="165" t="inlineStr">
        <is>
          <t>Evaluation type (Initial / Re-evaluation after update)</t>
        </is>
      </c>
      <c r="C32" s="166" t="n"/>
    </row>
    <row r="33" ht="14.25" customHeight="1" s="125">
      <c r="A33" s="135" t="inlineStr">
        <is>
          <t>C.14</t>
        </is>
      </c>
      <c r="B33" s="165" t="inlineStr">
        <is>
          <t>Conducting DOH office / region (printed on the report letterhead)</t>
        </is>
      </c>
      <c r="C33" s="166" t="n"/>
    </row>
    <row r="34"/>
    <row r="35" ht="14.25" customHeight="1" s="125">
      <c r="A35" s="164" t="inlineStr">
        <is>
          <t>D. VERSIONS TESTED AND CERTIFICATE (to be filled by the Regional Validation Team)</t>
        </is>
      </c>
    </row>
    <row r="36" ht="14.25" customHeight="1" s="125">
      <c r="A36" s="135" t="inlineStr">
        <is>
          <t>D.1</t>
        </is>
      </c>
      <c r="B36" s="165" t="inlineStr">
        <is>
          <t>Version / build actually tested (if different from A.3, record why)</t>
        </is>
      </c>
      <c r="C36" s="166" t="n"/>
      <c r="D36" s="155">
        <f>IF(OR(C36="",C36=C8),"","⚠ Differs from A.3 — record the reason")</f>
        <v/>
      </c>
    </row>
    <row r="37" ht="14.25" customHeight="1" s="125">
      <c r="A37" s="135" t="inlineStr">
        <is>
          <t>D.2</t>
        </is>
      </c>
      <c r="B37" s="165" t="inlineStr">
        <is>
          <t>PH Core IG version tested (e.g., 0.2.0)</t>
        </is>
      </c>
      <c r="C37" s="166" t="n"/>
    </row>
    <row r="38" ht="14.25" customHeight="1" s="125">
      <c r="A38" s="135" t="inlineStr">
        <is>
          <t>D.3</t>
        </is>
      </c>
      <c r="B38" s="165" t="inlineStr">
        <is>
          <t>PHeReF IG version tested (e.g., 0.1.0)</t>
        </is>
      </c>
      <c r="C38" s="166" t="n"/>
    </row>
    <row r="39" ht="14.25" customHeight="1" s="125">
      <c r="A39" s="135" t="inlineStr">
        <is>
          <t>D.4</t>
        </is>
      </c>
      <c r="B39" s="165" t="inlineStr">
        <is>
          <t>Terminology / PSGC release used on the sandbox</t>
        </is>
      </c>
      <c r="C39" s="166" t="n"/>
    </row>
    <row r="40" ht="14.25" customHeight="1" s="125">
      <c r="A40" s="135" t="inlineStr">
        <is>
          <t>D.5</t>
        </is>
      </c>
      <c r="B40" s="165" t="inlineStr">
        <is>
          <t>Certificate no. (assigned on approval)</t>
        </is>
      </c>
      <c r="C40" s="166" t="n"/>
    </row>
    <row r="41" ht="14.25" customHeight="1" s="125">
      <c r="A41" s="135" t="inlineStr">
        <is>
          <t>D.6</t>
        </is>
      </c>
      <c r="B41" s="165" t="inlineStr">
        <is>
          <t>Date of approval</t>
        </is>
      </c>
      <c r="C41" s="169" t="n"/>
    </row>
    <row r="42" ht="14.25" customHeight="1" s="125">
      <c r="A42" s="135" t="inlineStr">
        <is>
          <t>D.7</t>
        </is>
      </c>
      <c r="B42" s="165" t="inlineStr">
        <is>
          <t>Valid until (auto: 2 years from approval — PROPOSED)</t>
        </is>
      </c>
      <c r="C42" s="170">
        <f>IF(C41="","",EDATE(C41,24))</f>
        <v/>
      </c>
    </row>
    <row r="43" ht="14.25" customHeight="1" s="125">
      <c r="A43" s="135" t="inlineStr">
        <is>
          <t>D.8</t>
        </is>
      </c>
      <c r="B43" s="165" t="inlineStr">
        <is>
          <t>Conditions, if any</t>
        </is>
      </c>
      <c r="C43" s="166" t="n"/>
    </row>
  </sheetData>
  <mergeCells count="5">
    <mergeCell ref="A35:E35"/>
    <mergeCell ref="A4:E4"/>
    <mergeCell ref="C26:E26"/>
    <mergeCell ref="A13:E13"/>
    <mergeCell ref="A17:E17"/>
  </mergeCells>
  <conditionalFormatting sqref="C26">
    <cfRule type="expression" rank="0" priority="2" equalAverage="0" aboveAverage="0" dxfId="4" text="" percent="0" bottom="0">
      <formula>ISNUMBER(SEARCH("Incomplete",C26))</formula>
    </cfRule>
    <cfRule type="expression" rank="0" priority="3" equalAverage="0" aboveAverage="0" dxfId="5" text="" percent="0" bottom="0">
      <formula>ISNUMBER(SEARCH("Complete —",C26))</formula>
    </cfRule>
  </conditionalFormatting>
  <dataValidations count="4">
    <dataValidation sqref="C14" showDropDown="0" showInputMessage="0" showErrorMessage="0" allowBlank="0" type="list" errorStyle="stop" operator="between">
      <formula1>"Third-party EMR provider,In-house developed system"</formula1>
      <formula2>0</formula2>
    </dataValidation>
    <dataValidation sqref="C12" showDropDown="0" showInputMessage="0" showErrorMessage="0" allowBlank="0" type="list" errorStyle="stop" operator="between">
      <formula1>"Cloud,On-premise,Hybrid"</formula1>
      <formula2>0</formula2>
    </dataValidation>
    <dataValidation sqref="C32" showDropDown="0" showInputMessage="0" showErrorMessage="0" allowBlank="1" type="list" errorStyle="stop" operator="between">
      <formula1>"Initial,Re-evaluation after update,Revalidation (major change),Partial regression (minor change)"</formula1>
      <formula2>0</formula2>
    </dataValidation>
    <dataValidation sqref="D19:D25" showDropDown="0" showInputMessage="0" showErrorMessage="0" allowBlank="1" type="list" errorStyle="stop" operator="between">
      <formula1>"DOH-CHD,DOH Central Office,PhilHealth,DICT,LGU,Hospital,Academic / Research Institution,Other"</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oddHeader>&amp;R&amp;7 Version unreleased draft · branch certificate-demo · commit e9c2d50 · built 2026-10-16 09:44 PHT</oddHeader>
    <oddFooter>&amp;C&amp;7 Page &amp;P of &amp;N</oddFooter>
    <evenHeader/>
    <evenFooter/>
    <firstHeader/>
    <firstFooter/>
  </headerFooter>
</worksheet>
</file>

<file path=xl/worksheets/sheet4.xml><?xml version="1.0" encoding="utf-8"?>
<worksheet xmlns="http://schemas.openxmlformats.org/spreadsheetml/2006/main">
  <sheetPr filterMode="0">
    <outlinePr summaryBelow="1" summaryRight="1"/>
    <pageSetUpPr fitToPage="0"/>
  </sheetPr>
  <dimension ref="A1:N149"/>
  <sheetViews>
    <sheetView showFormulas="0" showGridLines="1" showRowColHeaders="1" showZeros="1" rightToLeft="0" tabSelected="1" showOutlineSymbols="1" defaultGridColor="1" view="normal" topLeftCell="A47" colorId="64" zoomScale="100" zoomScaleNormal="100" zoomScalePageLayoutView="100" workbookViewId="0">
      <selection pane="topLeft" activeCell="G70" activeCellId="0" sqref="G70"/>
    </sheetView>
  </sheetViews>
  <sheetFormatPr baseColWidth="8" defaultColWidth="8.66796875" defaultRowHeight="14.25" zeroHeight="0" outlineLevelRow="0"/>
  <cols>
    <col width="34" customWidth="1" style="124" min="1" max="1"/>
    <col width="30" customWidth="1" style="124" min="2" max="2"/>
    <col width="40" customWidth="1" style="124" min="3" max="3"/>
    <col width="30" customWidth="1" style="124" min="4" max="4"/>
    <col width="16" customWidth="1" style="124" min="5" max="6"/>
    <col width="12" customWidth="1" style="124" min="7" max="7"/>
    <col width="16" customWidth="1" style="124" min="8" max="8"/>
    <col width="12" customWidth="1" style="124" min="9" max="9"/>
    <col width="17" customWidth="1" style="124" min="10" max="11"/>
    <col width="11" customWidth="1" style="124" min="12" max="12"/>
    <col width="34" customWidth="1" style="124" min="13" max="13"/>
    <col width="40" customWidth="1" style="124" min="14" max="14"/>
  </cols>
  <sheetData>
    <row r="1" ht="17.25" customHeight="1" s="125">
      <c r="A1" s="162" t="inlineStr">
        <is>
          <t>Test Data — standard values for Level 2 and Level 3 testing</t>
        </is>
      </c>
    </row>
    <row r="2" ht="31.5" customHeight="1" s="125">
      <c r="A2" s="128" t="inlineStr">
        <is>
          <t>ALL DATA ARE FICTIONAL and for testing only — not clinical advice. Replace the [bracketed] placeholders with the official test facilities/IDs issued by the DOH before testing. The same values must be used for every system evaluated. ★ = critical sub-item.</t>
        </is>
      </c>
    </row>
    <row r="3"/>
    <row r="4" ht="14.25" customHeight="1" s="125">
      <c r="A4" s="171" t="inlineStr">
        <is>
          <t>SECTION A — Test referral (enter in the referring EMR for TS1; compare on the receiving EMR for TS2)</t>
        </is>
      </c>
    </row>
    <row r="5" ht="26.25" customHeight="1" s="125">
      <c r="A5" s="167" t="inlineStr">
        <is>
          <t>Ref (criterion / sub-item)</t>
        </is>
      </c>
      <c r="B5" s="167" t="inlineStr">
        <is>
          <t>Data element</t>
        </is>
      </c>
      <c r="C5" s="167" t="inlineStr">
        <is>
          <t>Test value to enter</t>
        </is>
      </c>
      <c r="D5" s="167" t="inlineStr">
        <is>
          <t>Value seen at receiving EMR (TS2)</t>
        </is>
      </c>
    </row>
    <row r="6" ht="14.25" customHeight="1" s="125">
      <c r="A6" s="172" t="inlineStr">
        <is>
          <t>TS1-01.1</t>
        </is>
      </c>
      <c r="B6" s="172" t="inlineStr">
        <is>
          <t>HCPN name</t>
        </is>
      </c>
      <c r="C6" s="173" t="inlineStr">
        <is>
          <t>[Test Dummy HCPN name]</t>
        </is>
      </c>
      <c r="D6" s="173" t="n"/>
    </row>
    <row r="7" ht="14.25" customHeight="1" s="125">
      <c r="A7" s="172" t="inlineStr">
        <is>
          <t>TS1-01.2</t>
        </is>
      </c>
      <c r="B7" s="172" t="inlineStr">
        <is>
          <t>Initiating (referring) facility name</t>
        </is>
      </c>
      <c r="C7" s="173" t="inlineStr">
        <is>
          <t>[Test referring facility]</t>
        </is>
      </c>
      <c r="D7" s="173" t="n"/>
    </row>
    <row r="8" ht="14.25" customHeight="1" s="125">
      <c r="A8" s="172" t="inlineStr">
        <is>
          <t>TS1-01.3</t>
        </is>
      </c>
      <c r="B8" s="172" t="inlineStr">
        <is>
          <t>Initiating facility NHFR code ★</t>
        </is>
      </c>
      <c r="C8" s="173" t="inlineStr">
        <is>
          <t>[NHFR code of test referring facility]</t>
        </is>
      </c>
      <c r="D8" s="173" t="n"/>
    </row>
    <row r="9" ht="14.25" customHeight="1" s="125">
      <c r="A9" s="172" t="inlineStr">
        <is>
          <t>TS1-01.4</t>
        </is>
      </c>
      <c r="B9" s="172" t="inlineStr">
        <is>
          <t>Initiating facility address</t>
        </is>
      </c>
      <c r="C9" s="173" t="inlineStr">
        <is>
          <t>[Official address, PSGC-coded]</t>
        </is>
      </c>
      <c r="D9" s="173" t="n"/>
    </row>
    <row r="10" ht="14.25" customHeight="1" s="125">
      <c r="A10" s="172" t="inlineStr">
        <is>
          <t>TS1-01.5</t>
        </is>
      </c>
      <c r="B10" s="172" t="inlineStr">
        <is>
          <t>Initiating facility contact number</t>
        </is>
      </c>
      <c r="C10" s="173" t="inlineStr">
        <is>
          <t>[Facility landline/mobile]</t>
        </is>
      </c>
      <c r="D10" s="173" t="n"/>
    </row>
    <row r="11" ht="14.25" customHeight="1" s="125">
      <c r="A11" s="172" t="inlineStr">
        <is>
          <t>TS1-02.1</t>
        </is>
      </c>
      <c r="B11" s="172" t="inlineStr">
        <is>
          <t>Receiving facility name</t>
        </is>
      </c>
      <c r="C11" s="173" t="inlineStr">
        <is>
          <t>[Test receiving facility]</t>
        </is>
      </c>
      <c r="D11" s="173" t="n"/>
    </row>
    <row r="12" ht="14.25" customHeight="1" s="125">
      <c r="A12" s="172" t="inlineStr">
        <is>
          <t>TS1-02.2</t>
        </is>
      </c>
      <c r="B12" s="172" t="inlineStr">
        <is>
          <t>Receiving facility NHFR code ★</t>
        </is>
      </c>
      <c r="C12" s="173" t="inlineStr">
        <is>
          <t>[NHFR code of test receiving facility]</t>
        </is>
      </c>
      <c r="D12" s="173" t="n"/>
    </row>
    <row r="13" ht="14.25" customHeight="1" s="125">
      <c r="A13" s="172" t="inlineStr">
        <is>
          <t>TS1-02.3</t>
        </is>
      </c>
      <c r="B13" s="172" t="inlineStr">
        <is>
          <t>Receiving facility address</t>
        </is>
      </c>
      <c r="C13" s="173" t="inlineStr">
        <is>
          <t>[Official address, PSGC-coded]</t>
        </is>
      </c>
      <c r="D13" s="173" t="n"/>
    </row>
    <row r="14" ht="14.25" customHeight="1" s="125">
      <c r="A14" s="172" t="inlineStr">
        <is>
          <t>TS1-03.1</t>
        </is>
      </c>
      <c r="B14" s="172" t="inlineStr">
        <is>
          <t>Name of referring practitioner</t>
        </is>
      </c>
      <c r="C14" s="173" t="inlineStr">
        <is>
          <t>TEST Dr. Ana Reyes</t>
        </is>
      </c>
      <c r="D14" s="173" t="n"/>
    </row>
    <row r="15" ht="14.25" customHeight="1" s="125">
      <c r="A15" s="172" t="inlineStr">
        <is>
          <t>TS1-03.2</t>
        </is>
      </c>
      <c r="B15" s="172" t="inlineStr">
        <is>
          <t>Referring practitioner role ★</t>
        </is>
      </c>
      <c r="C15" s="172" t="inlineStr">
        <is>
          <t>Medical practitioner (SNOMED CT 158965000)</t>
        </is>
      </c>
      <c r="D15" s="173" t="n"/>
    </row>
    <row r="16" ht="25.5" customHeight="1" s="125">
      <c r="A16" s="172" t="inlineStr">
        <is>
          <t>TS1-03.3</t>
        </is>
      </c>
      <c r="B16" s="172" t="inlineStr">
        <is>
          <t>Care navigator at referring facility (if assigned)</t>
        </is>
      </c>
      <c r="C16" s="172" t="inlineStr">
        <is>
          <t>TEST Nurse Liza Cruz</t>
        </is>
      </c>
      <c r="D16" s="173" t="n"/>
    </row>
    <row r="17" ht="14.25" customHeight="1" s="125">
      <c r="A17" s="172" t="inlineStr">
        <is>
          <t>TS1-04.1</t>
        </is>
      </c>
      <c r="B17" s="172" t="inlineStr">
        <is>
          <t>Patient full name</t>
        </is>
      </c>
      <c r="C17" s="172" t="inlineStr">
        <is>
          <t>TEST Maria Santos</t>
        </is>
      </c>
      <c r="D17" s="173" t="n"/>
    </row>
    <row r="18" ht="14.25" customHeight="1" s="125">
      <c r="A18" s="172" t="inlineStr">
        <is>
          <t>TS1-04.2</t>
        </is>
      </c>
      <c r="B18" s="172" t="inlineStr">
        <is>
          <t>PhilSys number ★</t>
        </is>
      </c>
      <c r="C18" s="173" t="inlineStr">
        <is>
          <t>[Test Dummy PhilSys number]</t>
        </is>
      </c>
      <c r="D18" s="173" t="n"/>
    </row>
    <row r="19" ht="14.25" customHeight="1" s="125">
      <c r="A19" s="172" t="inlineStr">
        <is>
          <t>TS1-04.3</t>
        </is>
      </c>
      <c r="B19" s="172" t="inlineStr">
        <is>
          <t>PhilHealth ID ★</t>
        </is>
      </c>
      <c r="C19" s="172" t="inlineStr">
        <is>
          <t>[Test Dummy PhilHealth PIN]</t>
        </is>
      </c>
      <c r="D19" s="173" t="n"/>
    </row>
    <row r="20" ht="14.25" customHeight="1" s="125">
      <c r="A20" s="172" t="inlineStr">
        <is>
          <t>TS1-04.4</t>
        </is>
      </c>
      <c r="B20" s="172" t="inlineStr">
        <is>
          <t>Birth date</t>
        </is>
      </c>
      <c r="C20" s="172" t="inlineStr">
        <is>
          <t>1988-03-15</t>
        </is>
      </c>
      <c r="D20" s="173" t="n"/>
    </row>
    <row r="21" ht="14.25" customHeight="1" s="125">
      <c r="A21" s="172" t="inlineStr">
        <is>
          <t>TS1-04.5</t>
        </is>
      </c>
      <c r="B21" s="172" t="inlineStr">
        <is>
          <t>Sex ★</t>
        </is>
      </c>
      <c r="C21" s="172" t="inlineStr">
        <is>
          <t>female</t>
        </is>
      </c>
      <c r="D21" s="173" t="n"/>
    </row>
    <row r="22" ht="14.25" customHeight="1" s="125">
      <c r="A22" s="172" t="inlineStr">
        <is>
          <t>TS1-04.6</t>
        </is>
      </c>
      <c r="B22" s="172" t="inlineStr">
        <is>
          <t>Civil status</t>
        </is>
      </c>
      <c r="C22" s="172" t="inlineStr">
        <is>
          <t>Married</t>
        </is>
      </c>
      <c r="D22" s="173" t="n"/>
    </row>
    <row r="23" ht="14.25" customHeight="1" s="125">
      <c r="A23" s="172" t="inlineStr">
        <is>
          <t>TS1-04.7</t>
        </is>
      </c>
      <c r="B23" s="172" t="inlineStr">
        <is>
          <t>Patient address</t>
        </is>
      </c>
      <c r="C23" s="172" t="inlineStr">
        <is>
          <t>Brgy. Poblacion, Ibajay, Aklan (PSGC-coded)</t>
        </is>
      </c>
      <c r="D23" s="173" t="n"/>
    </row>
    <row r="24" ht="14.25" customHeight="1" s="125">
      <c r="A24" s="172" t="inlineStr">
        <is>
          <t>TS1-04.8</t>
        </is>
      </c>
      <c r="B24" s="172" t="inlineStr">
        <is>
          <t>Patient contact number</t>
        </is>
      </c>
      <c r="C24" s="172" t="inlineStr">
        <is>
          <t>0917-000-0001 (test)</t>
        </is>
      </c>
      <c r="D24" s="173" t="n"/>
    </row>
    <row r="25" ht="14.25" customHeight="1" s="125">
      <c r="A25" s="172" t="inlineStr">
        <is>
          <t>TS1-04.9</t>
        </is>
      </c>
      <c r="B25" s="172" t="inlineStr">
        <is>
          <t>PWD registration (if applicable)</t>
        </is>
      </c>
      <c r="C25" s="173" t="inlineStr">
        <is>
          <t>[Test Dummy PWD ID, or 'none' → N/A]</t>
        </is>
      </c>
      <c r="D25" s="173" t="n"/>
    </row>
    <row r="26" ht="14.25" customHeight="1" s="125">
      <c r="A26" s="172" t="inlineStr">
        <is>
          <t>TS1-05</t>
        </is>
      </c>
      <c r="B26" s="172" t="inlineStr">
        <is>
          <t>Accompanied by / next of kin</t>
        </is>
      </c>
      <c r="C26" s="172" t="inlineStr">
        <is>
          <t>TEST Jose Santos, spouse, 0917-000-0002</t>
        </is>
      </c>
      <c r="D26" s="173" t="n"/>
    </row>
    <row r="27" ht="14.25" customHeight="1" s="125">
      <c r="A27" s="172" t="inlineStr">
        <is>
          <t>TS1-06.1</t>
        </is>
      </c>
      <c r="B27" s="172" t="inlineStr">
        <is>
          <t>Date of referral</t>
        </is>
      </c>
      <c r="C27" s="172" t="inlineStr">
        <is>
          <t>[Actual date of test]</t>
        </is>
      </c>
      <c r="D27" s="173" t="n"/>
    </row>
    <row r="28" ht="14.25" customHeight="1" s="125">
      <c r="A28" s="172" t="inlineStr">
        <is>
          <t>TS1-06.2</t>
        </is>
      </c>
      <c r="B28" s="172" t="inlineStr">
        <is>
          <t>Referral category ★</t>
        </is>
      </c>
      <c r="C28" s="172" t="inlineStr">
        <is>
          <t>Emergency (SNOMED CT 73770003)</t>
        </is>
      </c>
      <c r="D28" s="173" t="n"/>
    </row>
    <row r="29" ht="14.25" customHeight="1" s="125">
      <c r="A29" s="172" t="inlineStr">
        <is>
          <t>TS1-06.3</t>
        </is>
      </c>
      <c r="B29" s="172" t="inlineStr">
        <is>
          <t>Priority ★</t>
        </is>
      </c>
      <c r="C29" s="172" t="inlineStr">
        <is>
          <t>urgent</t>
        </is>
      </c>
      <c r="D29" s="173" t="n"/>
    </row>
    <row r="30" ht="14.25" customHeight="1" s="125">
      <c r="A30" s="172" t="inlineStr">
        <is>
          <t>TS1-06.4</t>
        </is>
      </c>
      <c r="B30" s="172" t="inlineStr">
        <is>
          <t>Reason for referral ★</t>
        </is>
      </c>
      <c r="C30" s="172" t="inlineStr">
        <is>
          <t>Consultation (SNOMED CT 11429006)</t>
        </is>
      </c>
      <c r="D30" s="173" t="n"/>
    </row>
    <row r="31" ht="14.25" customHeight="1" s="125">
      <c r="A31" s="172" t="inlineStr">
        <is>
          <t>TS1-07.1</t>
        </is>
      </c>
      <c r="B31" s="172" t="inlineStr">
        <is>
          <t>Chief complaint</t>
        </is>
      </c>
      <c r="C31" s="172" t="inlineStr">
        <is>
          <t>Headache and blurred vision</t>
        </is>
      </c>
      <c r="D31" s="173" t="n"/>
    </row>
    <row r="32" ht="14.25" customHeight="1" s="125">
      <c r="A32" s="172" t="inlineStr">
        <is>
          <t>TS1-07.2</t>
        </is>
      </c>
      <c r="B32" s="172" t="inlineStr">
        <is>
          <t>Working impression ★</t>
        </is>
      </c>
      <c r="C32" s="172" t="inlineStr">
        <is>
          <t>TEST — Severe pre-eclampsia (ICD-10 O14.1)</t>
        </is>
      </c>
      <c r="D32" s="173" t="n"/>
    </row>
    <row r="33" ht="25.5" customHeight="1" s="125">
      <c r="A33" s="172" t="inlineStr">
        <is>
          <t>TS1-07.3</t>
        </is>
      </c>
      <c r="B33" s="172" t="inlineStr">
        <is>
          <t>Clinical history</t>
        </is>
      </c>
      <c r="C33" s="172" t="inlineStr">
        <is>
          <t>G2P1, 34 weeks AOG; elevated BP since yesterday</t>
        </is>
      </c>
      <c r="D33" s="173" t="n"/>
    </row>
    <row r="34" ht="14.25" customHeight="1" s="125">
      <c r="A34" s="172" t="inlineStr">
        <is>
          <t>TS1-08.1</t>
        </is>
      </c>
      <c r="B34" s="172" t="inlineStr">
        <is>
          <t>Blood pressure ★</t>
        </is>
      </c>
      <c r="C34" s="172" t="inlineStr">
        <is>
          <t>160/110 mmHg</t>
        </is>
      </c>
      <c r="D34" s="173" t="n"/>
    </row>
    <row r="35" ht="14.25" customHeight="1" s="125">
      <c r="A35" s="172" t="inlineStr">
        <is>
          <t>TS1-08.2</t>
        </is>
      </c>
      <c r="B35" s="172" t="inlineStr">
        <is>
          <t>Heart rate</t>
        </is>
      </c>
      <c r="C35" s="172" t="inlineStr">
        <is>
          <t>98 /min</t>
        </is>
      </c>
      <c r="D35" s="173" t="n"/>
    </row>
    <row r="36" ht="14.25" customHeight="1" s="125">
      <c r="A36" s="172" t="inlineStr">
        <is>
          <t>TS1-08.3</t>
        </is>
      </c>
      <c r="B36" s="172" t="inlineStr">
        <is>
          <t>Respiratory rate</t>
        </is>
      </c>
      <c r="C36" s="172" t="inlineStr">
        <is>
          <t>20 /min</t>
        </is>
      </c>
      <c r="D36" s="173" t="n"/>
    </row>
    <row r="37" ht="14.25" customHeight="1" s="125">
      <c r="A37" s="172" t="inlineStr">
        <is>
          <t>TS1-08.4</t>
        </is>
      </c>
      <c r="B37" s="172" t="inlineStr">
        <is>
          <t>Oxygen saturation</t>
        </is>
      </c>
      <c r="C37" s="172" t="inlineStr">
        <is>
          <t>97 %</t>
        </is>
      </c>
      <c r="D37" s="173" t="n"/>
    </row>
    <row r="38" ht="14.25" customHeight="1" s="125">
      <c r="A38" s="172" t="inlineStr">
        <is>
          <t>TS1-08.5</t>
        </is>
      </c>
      <c r="B38" s="172" t="inlineStr">
        <is>
          <t>Body temperature</t>
        </is>
      </c>
      <c r="C38" s="172" t="inlineStr">
        <is>
          <t>36.8 °C</t>
        </is>
      </c>
      <c r="D38" s="173" t="n"/>
    </row>
    <row r="39" ht="14.25" customHeight="1" s="125">
      <c r="A39" s="172" t="inlineStr">
        <is>
          <t>TS1-08.6</t>
        </is>
      </c>
      <c r="B39" s="172" t="inlineStr">
        <is>
          <t>Body weight</t>
        </is>
      </c>
      <c r="C39" s="172" t="inlineStr">
        <is>
          <t>68 kg</t>
        </is>
      </c>
      <c r="D39" s="173" t="n"/>
    </row>
    <row r="40" ht="14.25" customHeight="1" s="125">
      <c r="A40" s="172" t="inlineStr">
        <is>
          <t>TS1-09</t>
        </is>
      </c>
      <c r="B40" s="172" t="inlineStr">
        <is>
          <t>Laboratory result (attachment)</t>
        </is>
      </c>
      <c r="C40" s="172" t="inlineStr">
        <is>
          <t>test-lab-result.pdf (sample file)</t>
        </is>
      </c>
      <c r="D40" s="173" t="n"/>
    </row>
    <row r="41" ht="25.5" customHeight="1" s="125">
      <c r="A41" s="172" t="inlineStr">
        <is>
          <t>TS1-10</t>
        </is>
      </c>
      <c r="B41" s="172" t="inlineStr">
        <is>
          <t>Treatment given</t>
        </is>
      </c>
      <c r="C41" s="172" t="inlineStr">
        <is>
          <t>Initial stabilization given per facility protocol</t>
        </is>
      </c>
      <c r="D41" s="173" t="n"/>
    </row>
    <row r="42" ht="14.25" customHeight="1" s="125">
      <c r="A42" s="172" t="inlineStr">
        <is>
          <t>TS1-11.1</t>
        </is>
      </c>
      <c r="B42" s="172" t="inlineStr">
        <is>
          <t>Professional signature</t>
        </is>
      </c>
      <c r="C42" s="172" t="inlineStr">
        <is>
          <t>Signature of referring practitioner</t>
        </is>
      </c>
      <c r="D42" s="173" t="n"/>
    </row>
    <row r="43" ht="14.25" customHeight="1" s="125">
      <c r="A43" s="172" t="inlineStr">
        <is>
          <t>TS1-11.2</t>
        </is>
      </c>
      <c r="B43" s="172" t="inlineStr">
        <is>
          <t>Date &amp; time of signature</t>
        </is>
      </c>
      <c r="C43" s="172" t="inlineStr">
        <is>
          <t>[Actual date/time of signing]</t>
        </is>
      </c>
      <c r="D43" s="173" t="n"/>
    </row>
    <row r="44" ht="23.25" customHeight="1" s="125">
      <c r="A44" s="172" t="inlineStr">
        <is>
          <t>TS1-12.1</t>
        </is>
      </c>
      <c r="B44" s="172" t="inlineStr">
        <is>
          <t>Referral Task status at submission ★</t>
        </is>
      </c>
      <c r="C44" s="172" t="inlineStr">
        <is>
          <t>requested</t>
        </is>
      </c>
      <c r="D44" s="173" t="n"/>
    </row>
    <row r="45" ht="14.25" customHeight="1" s="125">
      <c r="A45" s="172" t="inlineStr">
        <is>
          <t>TS1-13</t>
        </is>
      </c>
      <c r="B45" s="172" t="inlineStr">
        <is>
          <t>Encounter at referring facility</t>
        </is>
      </c>
      <c r="C45" s="172" t="inlineStr">
        <is>
          <t>Emergency encounter at referring facility</t>
        </is>
      </c>
      <c r="D45" s="173" t="n"/>
    </row>
    <row r="46" ht="14.25" customHeight="1" s="125">
      <c r="A46" s="172" t="inlineStr">
        <is>
          <t>TS1-14</t>
        </is>
      </c>
      <c r="B46" s="172" t="inlineStr">
        <is>
          <t>Time called (info only)</t>
        </is>
      </c>
      <c r="C46" s="172" t="inlineStr">
        <is>
          <t>[Actual time of test] — not scored</t>
        </is>
      </c>
      <c r="D46" s="173" t="n"/>
    </row>
    <row r="47" ht="23.25" customHeight="1" s="125">
      <c r="A47" s="172" t="inlineStr">
        <is>
          <t>TS1-15</t>
        </is>
      </c>
      <c r="B47" s="172" t="inlineStr">
        <is>
          <t>Mode of transportation (info only)</t>
        </is>
      </c>
      <c r="C47" s="173" t="inlineStr">
        <is>
          <t>Ambulance — not scored (pending TDG mapping)</t>
        </is>
      </c>
      <c r="D47" s="173" t="n"/>
    </row>
    <row r="48" ht="25.5" customHeight="1" s="125">
      <c r="A48" s="172" t="inlineStr">
        <is>
          <t>TS2-10.1</t>
        </is>
      </c>
      <c r="B48" s="172" t="inlineStr">
        <is>
          <t>Name of receiving practitioner (entered at receiving EMR)</t>
        </is>
      </c>
      <c r="C48" s="172" t="inlineStr">
        <is>
          <t>TEST Dr. Carlos Lim</t>
        </is>
      </c>
      <c r="D48" s="173" t="n"/>
    </row>
    <row r="49" ht="25.5" customHeight="1" s="125">
      <c r="A49" s="172" t="inlineStr">
        <is>
          <t>TS2-10.2</t>
        </is>
      </c>
      <c r="B49" s="172" t="inlineStr">
        <is>
          <t>Care navigator at receiving facility (if assigned)</t>
        </is>
      </c>
      <c r="C49" s="173" t="inlineStr">
        <is>
          <t>TEST Nurse Rosa Dela Cruz</t>
        </is>
      </c>
      <c r="D49" s="173" t="n"/>
    </row>
    <row r="50" ht="14.25" customHeight="1" s="125">
      <c r="A50" s="172" t="inlineStr">
        <is>
          <t>TS2-10.3</t>
        </is>
      </c>
      <c r="B50" s="172" t="inlineStr">
        <is>
          <t>Receiving practitioner role ★</t>
        </is>
      </c>
      <c r="C50" s="172" t="inlineStr">
        <is>
          <t>Medical practitioner (SNOMED CT 158965000)</t>
        </is>
      </c>
      <c r="D50" s="173" t="n"/>
    </row>
    <row r="51" ht="25.5" customHeight="1" s="125">
      <c r="A51" s="172" t="inlineStr">
        <is>
          <t>TS2-11</t>
        </is>
      </c>
      <c r="B51" s="172" t="inlineStr">
        <is>
          <t>Receiving response sequence ★</t>
        </is>
      </c>
      <c r="C51" s="172" t="inlineStr">
        <is>
          <t>received → accepted → completed; second referral: rejected (reason: no available bed)</t>
        </is>
      </c>
      <c r="D51" s="173" t="n"/>
    </row>
    <row r="52"/>
    <row r="53" ht="14.25" customHeight="1" s="125">
      <c r="A53" s="171" t="inlineStr">
        <is>
          <t>SECTION B — Level 3 reconciliation set: 10 mock test referrals with KNOWN outcomes. Perspective = the facility under test ("Facility A").</t>
        </is>
      </c>
    </row>
    <row r="54" ht="27.75" customHeight="1" s="125">
      <c r="A54" s="174" t="inlineStr">
        <is>
          <t>Create all 10 referrals in the system during testing. Enter the actual date/time referred and received as they happen (yellow). The Expected Results below calculate automatically; the system's reports must match them exactly. Column M (working impression) is used for the Top Morbidity check (L3-16).</t>
        </is>
      </c>
    </row>
    <row r="55" ht="30" customHeight="1" s="125">
      <c r="A55" s="167" t="inlineStr">
        <is>
          <t>#</t>
        </is>
      </c>
      <c r="B55" s="167" t="inlineStr">
        <is>
          <t>Referring facility</t>
        </is>
      </c>
      <c r="C55" s="167" t="inlineStr">
        <is>
          <t>Receiving facility</t>
        </is>
      </c>
      <c r="D55" s="167" t="inlineStr">
        <is>
          <t>Direction (for Facility A)</t>
        </is>
      </c>
      <c r="E55" s="167" t="inlineStr">
        <is>
          <t>Referring facility ownership</t>
        </is>
      </c>
      <c r="F55" s="167" t="inlineStr">
        <is>
          <t>Receiving facility capability</t>
        </is>
      </c>
      <c r="G55" s="167" t="inlineStr">
        <is>
          <t>Category</t>
        </is>
      </c>
      <c r="H55" s="167" t="inlineStr">
        <is>
          <t>Reason for referral</t>
        </is>
      </c>
      <c r="I55" s="167" t="inlineStr">
        <is>
          <t>Final status</t>
        </is>
      </c>
      <c r="J55" s="167" t="inlineStr">
        <is>
          <t>Date/time referred</t>
        </is>
      </c>
      <c r="K55" s="167" t="inlineStr">
        <is>
          <t>Date/time received</t>
        </is>
      </c>
      <c r="L55" s="167" t="inlineStr">
        <is>
          <t>TAT (minutes)</t>
        </is>
      </c>
      <c r="M55" s="167" t="inlineStr">
        <is>
          <t>Working impression (morbidity, ICD-10)</t>
        </is>
      </c>
    </row>
    <row r="56" ht="23.25" customHeight="1" s="125">
      <c r="A56" s="175" t="n">
        <v>1</v>
      </c>
      <c r="B56" s="175" t="inlineStr">
        <is>
          <t>Facility A</t>
        </is>
      </c>
      <c r="C56" s="175" t="inlineStr">
        <is>
          <t>Facility B</t>
        </is>
      </c>
      <c r="D56" s="175" t="inlineStr">
        <is>
          <t>Outgoing</t>
        </is>
      </c>
      <c r="E56" s="175" t="inlineStr">
        <is>
          <t>Government</t>
        </is>
      </c>
      <c r="F56" s="175" t="inlineStr">
        <is>
          <t>Level 1</t>
        </is>
      </c>
      <c r="G56" s="175" t="inlineStr">
        <is>
          <t>Emergency</t>
        </is>
      </c>
      <c r="H56" s="175" t="inlineStr">
        <is>
          <t>Consultation</t>
        </is>
      </c>
      <c r="I56" s="175" t="inlineStr">
        <is>
          <t>Received</t>
        </is>
      </c>
      <c r="J56" s="176" t="n"/>
      <c r="K56" s="176" t="n"/>
      <c r="L56" s="177">
        <f>IF(AND(ISNUMBER(J56),ISNUMBER(K56)),(K56-J56)*1440,"")</f>
        <v/>
      </c>
      <c r="M56" s="175" t="inlineStr">
        <is>
          <t>J18.9 — Pneumonia, unspecified organism</t>
        </is>
      </c>
    </row>
    <row r="57" ht="14.25" customHeight="1" s="125">
      <c r="A57" s="175" t="n">
        <v>2</v>
      </c>
      <c r="B57" s="175" t="inlineStr">
        <is>
          <t>Facility A</t>
        </is>
      </c>
      <c r="C57" s="175" t="inlineStr">
        <is>
          <t>Facility B</t>
        </is>
      </c>
      <c r="D57" s="175" t="inlineStr">
        <is>
          <t>Outgoing</t>
        </is>
      </c>
      <c r="E57" s="175" t="inlineStr">
        <is>
          <t>Government</t>
        </is>
      </c>
      <c r="F57" s="175" t="inlineStr">
        <is>
          <t>Level 1</t>
        </is>
      </c>
      <c r="G57" s="175" t="inlineStr">
        <is>
          <t>Outpatient</t>
        </is>
      </c>
      <c r="H57" s="175" t="inlineStr">
        <is>
          <t>Diagnostics</t>
        </is>
      </c>
      <c r="I57" s="175" t="inlineStr">
        <is>
          <t>Redirected</t>
        </is>
      </c>
      <c r="J57" s="176" t="n"/>
      <c r="K57" s="176" t="n"/>
      <c r="L57" s="177">
        <f>IF(AND(ISNUMBER(J57),ISNUMBER(K57)),(K57-J57)*1440,"")</f>
        <v/>
      </c>
      <c r="M57" s="175" t="inlineStr">
        <is>
          <t>O14.1 — Severe pre-eclampsia</t>
        </is>
      </c>
    </row>
    <row r="58" ht="26.25" customHeight="1" s="125">
      <c r="A58" s="175" t="n">
        <v>3</v>
      </c>
      <c r="B58" s="175" t="inlineStr">
        <is>
          <t>Facility A</t>
        </is>
      </c>
      <c r="C58" s="175" t="inlineStr">
        <is>
          <t>Facility C</t>
        </is>
      </c>
      <c r="D58" s="175" t="inlineStr">
        <is>
          <t>Outgoing</t>
        </is>
      </c>
      <c r="E58" s="175" t="inlineStr">
        <is>
          <t>Government</t>
        </is>
      </c>
      <c r="F58" s="175" t="inlineStr">
        <is>
          <t>Level 2</t>
        </is>
      </c>
      <c r="G58" s="175" t="inlineStr">
        <is>
          <t>Outpatient</t>
        </is>
      </c>
      <c r="H58" s="175" t="inlineStr">
        <is>
          <t>Consultation</t>
        </is>
      </c>
      <c r="I58" s="175" t="inlineStr">
        <is>
          <t>Deferred/Denied</t>
        </is>
      </c>
      <c r="J58" s="176" t="n"/>
      <c r="K58" s="176" t="n"/>
      <c r="L58" s="177">
        <f>IF(AND(ISNUMBER(J58),ISNUMBER(K58)),(K58-J58)*1440,"")</f>
        <v/>
      </c>
      <c r="M58" s="175" t="inlineStr">
        <is>
          <t>J18.9 — Pneumonia, unspecified organism</t>
        </is>
      </c>
    </row>
    <row r="59" ht="14.25" customHeight="1" s="125">
      <c r="A59" s="175" t="n">
        <v>4</v>
      </c>
      <c r="B59" s="175" t="inlineStr">
        <is>
          <t>Facility A</t>
        </is>
      </c>
      <c r="C59" s="175" t="inlineStr">
        <is>
          <t>Facility C</t>
        </is>
      </c>
      <c r="D59" s="175" t="inlineStr">
        <is>
          <t>Outgoing</t>
        </is>
      </c>
      <c r="E59" s="175" t="inlineStr">
        <is>
          <t>Government</t>
        </is>
      </c>
      <c r="F59" s="175" t="inlineStr">
        <is>
          <t>Level 2</t>
        </is>
      </c>
      <c r="G59" s="175" t="inlineStr">
        <is>
          <t>Emergency</t>
        </is>
      </c>
      <c r="H59" s="175" t="inlineStr">
        <is>
          <t>Procedure</t>
        </is>
      </c>
      <c r="I59" s="175" t="inlineStr">
        <is>
          <t>Received</t>
        </is>
      </c>
      <c r="J59" s="176" t="n"/>
      <c r="K59" s="176" t="n"/>
      <c r="L59" s="177">
        <f>IF(AND(ISNUMBER(J59),ISNUMBER(K59)),(K59-J59)*1440,"")</f>
        <v/>
      </c>
      <c r="M59" s="175" t="inlineStr">
        <is>
          <t>I10 — Essential (primary) hypertension</t>
        </is>
      </c>
    </row>
    <row r="60" ht="14.25" customHeight="1" s="125">
      <c r="A60" s="175" t="n">
        <v>5</v>
      </c>
      <c r="B60" s="175" t="inlineStr">
        <is>
          <t>Facility A</t>
        </is>
      </c>
      <c r="C60" s="175" t="inlineStr">
        <is>
          <t>Facility D</t>
        </is>
      </c>
      <c r="D60" s="175" t="inlineStr">
        <is>
          <t>Outgoing</t>
        </is>
      </c>
      <c r="E60" s="175" t="inlineStr">
        <is>
          <t>Government</t>
        </is>
      </c>
      <c r="F60" s="175" t="inlineStr">
        <is>
          <t>Level 3</t>
        </is>
      </c>
      <c r="G60" s="175" t="inlineStr">
        <is>
          <t>Emergency</t>
        </is>
      </c>
      <c r="H60" s="175" t="inlineStr">
        <is>
          <t>Consultation</t>
        </is>
      </c>
      <c r="I60" s="175" t="inlineStr">
        <is>
          <t>Redirected</t>
        </is>
      </c>
      <c r="J60" s="176" t="n"/>
      <c r="K60" s="176" t="n"/>
      <c r="L60" s="177">
        <f>IF(AND(ISNUMBER(J60),ISNUMBER(K60)),(K60-J60)*1440,"")</f>
        <v/>
      </c>
      <c r="M60" s="175" t="inlineStr">
        <is>
          <t>O14.1 — Severe pre-eclampsia</t>
        </is>
      </c>
    </row>
    <row r="61" ht="23.25" customHeight="1" s="125">
      <c r="A61" s="175" t="n">
        <v>6</v>
      </c>
      <c r="B61" s="175" t="inlineStr">
        <is>
          <t>Facility A</t>
        </is>
      </c>
      <c r="C61" s="175" t="inlineStr">
        <is>
          <t>Facility B</t>
        </is>
      </c>
      <c r="D61" s="175" t="inlineStr">
        <is>
          <t>Outgoing</t>
        </is>
      </c>
      <c r="E61" s="175" t="inlineStr">
        <is>
          <t>Government</t>
        </is>
      </c>
      <c r="F61" s="175" t="inlineStr">
        <is>
          <t>Level 1</t>
        </is>
      </c>
      <c r="G61" s="175" t="inlineStr">
        <is>
          <t>Outpatient</t>
        </is>
      </c>
      <c r="H61" s="175" t="inlineStr">
        <is>
          <t>Consultation</t>
        </is>
      </c>
      <c r="I61" s="175" t="inlineStr">
        <is>
          <t>Received</t>
        </is>
      </c>
      <c r="J61" s="176" t="n"/>
      <c r="K61" s="176" t="n"/>
      <c r="L61" s="177">
        <f>IF(AND(ISNUMBER(J61),ISNUMBER(K61)),(K61-J61)*1440,"")</f>
        <v/>
      </c>
      <c r="M61" s="175" t="inlineStr">
        <is>
          <t>J18.9 — Pneumonia, unspecified organism</t>
        </is>
      </c>
    </row>
    <row r="62" ht="23.25" customHeight="1" s="125">
      <c r="A62" s="175" t="n">
        <v>7</v>
      </c>
      <c r="B62" s="175" t="inlineStr">
        <is>
          <t>Facility E</t>
        </is>
      </c>
      <c r="C62" s="175" t="inlineStr">
        <is>
          <t>Facility A</t>
        </is>
      </c>
      <c r="D62" s="175" t="inlineStr">
        <is>
          <t>Incoming</t>
        </is>
      </c>
      <c r="E62" s="175" t="inlineStr">
        <is>
          <t>Government</t>
        </is>
      </c>
      <c r="F62" s="175" t="inlineStr">
        <is>
          <t>RHU</t>
        </is>
      </c>
      <c r="G62" s="175" t="inlineStr">
        <is>
          <t>Outpatient</t>
        </is>
      </c>
      <c r="H62" s="175" t="inlineStr">
        <is>
          <t>Diagnostics</t>
        </is>
      </c>
      <c r="I62" s="175" t="inlineStr">
        <is>
          <t>Received</t>
        </is>
      </c>
      <c r="J62" s="176" t="n"/>
      <c r="K62" s="176" t="n"/>
      <c r="L62" s="177">
        <f>IF(AND(ISNUMBER(J62),ISNUMBER(K62)),(K62-J62)*1440,"")</f>
        <v/>
      </c>
      <c r="M62" s="175" t="inlineStr">
        <is>
          <t>A09 — Infectious gastroenteritis and colitis</t>
        </is>
      </c>
    </row>
    <row r="63" ht="14.25" customHeight="1" s="125">
      <c r="A63" s="175" t="n">
        <v>8</v>
      </c>
      <c r="B63" s="175" t="inlineStr">
        <is>
          <t>Facility F</t>
        </is>
      </c>
      <c r="C63" s="175" t="inlineStr">
        <is>
          <t>Facility A</t>
        </is>
      </c>
      <c r="D63" s="175" t="inlineStr">
        <is>
          <t>Incoming</t>
        </is>
      </c>
      <c r="E63" s="175" t="inlineStr">
        <is>
          <t>Private</t>
        </is>
      </c>
      <c r="F63" s="175" t="inlineStr">
        <is>
          <t>RHU</t>
        </is>
      </c>
      <c r="G63" s="175" t="inlineStr">
        <is>
          <t>Emergency</t>
        </is>
      </c>
      <c r="H63" s="175" t="inlineStr">
        <is>
          <t>Consultation</t>
        </is>
      </c>
      <c r="I63" s="175" t="inlineStr">
        <is>
          <t>Received</t>
        </is>
      </c>
      <c r="J63" s="176" t="n"/>
      <c r="K63" s="176" t="n"/>
      <c r="L63" s="177">
        <f>IF(AND(ISNUMBER(J63),ISNUMBER(K63)),(K63-J63)*1440,"")</f>
        <v/>
      </c>
      <c r="M63" s="175" t="inlineStr">
        <is>
          <t>O14.1 — Severe pre-eclampsia</t>
        </is>
      </c>
    </row>
    <row r="64" ht="26.25" customHeight="1" s="125">
      <c r="A64" s="175" t="n">
        <v>9</v>
      </c>
      <c r="B64" s="175" t="inlineStr">
        <is>
          <t>Facility F</t>
        </is>
      </c>
      <c r="C64" s="175" t="inlineStr">
        <is>
          <t>Facility A</t>
        </is>
      </c>
      <c r="D64" s="175" t="inlineStr">
        <is>
          <t>Incoming</t>
        </is>
      </c>
      <c r="E64" s="175" t="inlineStr">
        <is>
          <t>Private</t>
        </is>
      </c>
      <c r="F64" s="175" t="inlineStr">
        <is>
          <t>RHU</t>
        </is>
      </c>
      <c r="G64" s="175" t="inlineStr">
        <is>
          <t>Outpatient</t>
        </is>
      </c>
      <c r="H64" s="175" t="inlineStr">
        <is>
          <t>Others</t>
        </is>
      </c>
      <c r="I64" s="175" t="inlineStr">
        <is>
          <t>Deferred/Denied</t>
        </is>
      </c>
      <c r="J64" s="176" t="n"/>
      <c r="K64" s="176" t="n"/>
      <c r="L64" s="177">
        <f>IF(AND(ISNUMBER(J64),ISNUMBER(K64)),(K64-J64)*1440,"")</f>
        <v/>
      </c>
      <c r="M64" s="175" t="inlineStr">
        <is>
          <t>I10 — Essential (primary) hypertension</t>
        </is>
      </c>
    </row>
    <row r="65" ht="23.25" customHeight="1" s="125">
      <c r="A65" s="175" t="n">
        <v>10</v>
      </c>
      <c r="B65" s="175" t="inlineStr">
        <is>
          <t>Facility E</t>
        </is>
      </c>
      <c r="C65" s="175" t="inlineStr">
        <is>
          <t>Facility A</t>
        </is>
      </c>
      <c r="D65" s="175" t="inlineStr">
        <is>
          <t>Incoming</t>
        </is>
      </c>
      <c r="E65" s="175" t="inlineStr">
        <is>
          <t>Government</t>
        </is>
      </c>
      <c r="F65" s="175" t="inlineStr">
        <is>
          <t>RHU</t>
        </is>
      </c>
      <c r="G65" s="175" t="inlineStr">
        <is>
          <t>Emergency</t>
        </is>
      </c>
      <c r="H65" s="175" t="inlineStr">
        <is>
          <t>Diagnostics</t>
        </is>
      </c>
      <c r="I65" s="175" t="inlineStr">
        <is>
          <t>Received</t>
        </is>
      </c>
      <c r="J65" s="176" t="n"/>
      <c r="K65" s="176" t="n"/>
      <c r="L65" s="177">
        <f>IF(AND(ISNUMBER(J65),ISNUMBER(K65)),(K65-J65)*1440,"")</f>
        <v/>
      </c>
      <c r="M65" s="175" t="inlineStr">
        <is>
          <t>J18.9 — Pneumonia, unspecified organism</t>
        </is>
      </c>
    </row>
    <row r="66"/>
    <row r="67" ht="14.25" customHeight="1" s="125">
      <c r="A67" s="171" t="inlineStr">
        <is>
          <t>EXPECTED RESULTS (auto-calculated — compare with the system's reports in Level 3)</t>
        </is>
      </c>
    </row>
    <row r="68" ht="14.25" customHeight="1" s="125">
      <c r="A68" s="167" t="inlineStr">
        <is>
          <t>Expected result</t>
        </is>
      </c>
      <c r="B68" s="167" t="inlineStr">
        <is>
          <t>Expected value</t>
        </is>
      </c>
      <c r="C68" s="167" t="inlineStr">
        <is>
          <t>Value in system report</t>
        </is>
      </c>
      <c r="D68" s="167" t="inlineStr">
        <is>
          <t>Match?</t>
        </is>
      </c>
    </row>
    <row r="69" ht="14.25" customHeight="1" s="125">
      <c r="A69" s="165" t="inlineStr">
        <is>
          <t>Total referrals in linelist</t>
        </is>
      </c>
      <c r="B69" s="178">
        <f>COUNTA($A$56:$A$65)</f>
        <v/>
      </c>
      <c r="C69" s="166" t="n"/>
      <c r="D69" s="179">
        <f>IF(C69="","",IF(ISNUMBER(B69),IF(ABS(C69-B69)&lt;=IF(A69="Average turnaround time (minutes)",1,0),"MATCH","MISMATCH"),""))</f>
        <v/>
      </c>
    </row>
    <row r="70" ht="14.25" customHeight="1" s="125">
      <c r="A70" s="165" t="inlineStr">
        <is>
          <t>Outgoing referrals</t>
        </is>
      </c>
      <c r="B70" s="178">
        <f>COUNTIF($D$56:$D$65,"Outgoing")</f>
        <v/>
      </c>
      <c r="C70" s="166" t="n"/>
      <c r="D70" s="179">
        <f>IF(C70="","",IF(ISNUMBER(B70),IF(ABS(C70-B70)&lt;=IF(A70="Average turnaround time (minutes)",1,0),"MATCH","MISMATCH"),""))</f>
        <v/>
      </c>
    </row>
    <row r="71" ht="14.25" customHeight="1" s="125">
      <c r="A71" s="165" t="inlineStr">
        <is>
          <t>Incoming referrals</t>
        </is>
      </c>
      <c r="B71" s="178">
        <f>COUNTIF($D$56:$D$65,"Incoming")</f>
        <v/>
      </c>
      <c r="C71" s="166" t="n"/>
      <c r="D71" s="179">
        <f>IF(C71="","",IF(ISNUMBER(B71),IF(ABS(C71-B71)&lt;=IF(A71="Average turnaround time (minutes)",1,0),"MATCH","MISMATCH"),""))</f>
        <v/>
      </c>
    </row>
    <row r="72" ht="14.25" customHeight="1" s="125">
      <c r="A72" s="165" t="inlineStr">
        <is>
          <t>Received (incoming AND status Received)</t>
        </is>
      </c>
      <c r="B72" s="178">
        <f>COUNTIFS($D$56:$D$65,"Incoming",$I$56:$I$65,"Received")</f>
        <v/>
      </c>
      <c r="C72" s="166" t="n"/>
      <c r="D72" s="179">
        <f>IF(C72="","",IF(ISNUMBER(B72),IF(ABS(C72-B72)&lt;=IF(A72="Average turnaround time (minutes)",1,0),"MATCH","MISMATCH"),""))</f>
        <v/>
      </c>
    </row>
    <row r="73" ht="14.25" customHeight="1" s="125">
      <c r="A73" s="165" t="inlineStr">
        <is>
          <t>Deferred / denied (all)</t>
        </is>
      </c>
      <c r="B73" s="178">
        <f>COUNTIF($I$56:$I$65,"Deferred/Denied")</f>
        <v/>
      </c>
      <c r="C73" s="166" t="n"/>
      <c r="D73" s="179">
        <f>IF(C73="","",IF(ISNUMBER(B73),IF(ABS(C73-B73)&lt;=IF(A73="Average turnaround time (minutes)",1,0),"MATCH","MISMATCH"),""))</f>
        <v/>
      </c>
    </row>
    <row r="74" ht="14.25" customHeight="1" s="125">
      <c r="A74" s="165" t="inlineStr">
        <is>
          <t>Redirected (all)</t>
        </is>
      </c>
      <c r="B74" s="178">
        <f>COUNTIF($I$56:$I$65,"Redirected")</f>
        <v/>
      </c>
      <c r="C74" s="166" t="n"/>
      <c r="D74" s="179">
        <f>IF(C74="","",IF(ISNUMBER(B74),IF(ABS(C74-B74)&lt;=IF(A74="Average turnaround time (minutes)",1,0),"MATCH","MISMATCH"),""))</f>
        <v/>
      </c>
    </row>
    <row r="75" ht="14.25" customHeight="1" s="125">
      <c r="A75" s="165" t="inlineStr">
        <is>
          <t>Reason: Consultation</t>
        </is>
      </c>
      <c r="B75" s="178">
        <f>COUNTIF($H$56:$H$65,"Consultation")</f>
        <v/>
      </c>
      <c r="C75" s="166" t="n"/>
      <c r="D75" s="179">
        <f>IF(C75="","",IF(ISNUMBER(B75),IF(ABS(C75-B75)&lt;=IF(A75="Average turnaround time (minutes)",1,0),"MATCH","MISMATCH"),""))</f>
        <v/>
      </c>
    </row>
    <row r="76" ht="14.25" customHeight="1" s="125">
      <c r="A76" s="165" t="inlineStr">
        <is>
          <t>Reason: Diagnostics</t>
        </is>
      </c>
      <c r="B76" s="178">
        <f>COUNTIF($H$56:$H$65,"Diagnostics")</f>
        <v/>
      </c>
      <c r="C76" s="166" t="n"/>
      <c r="D76" s="179">
        <f>IF(C76="","",IF(ISNUMBER(B76),IF(ABS(C76-B76)&lt;=IF(A76="Average turnaround time (minutes)",1,0),"MATCH","MISMATCH"),""))</f>
        <v/>
      </c>
    </row>
    <row r="77" ht="14.25" customHeight="1" s="125">
      <c r="A77" s="165" t="inlineStr">
        <is>
          <t>Reason: Procedure</t>
        </is>
      </c>
      <c r="B77" s="178">
        <f>COUNTIF($H$56:$H$65,"Procedure")</f>
        <v/>
      </c>
      <c r="C77" s="166" t="n"/>
      <c r="D77" s="179">
        <f>IF(C77="","",IF(ISNUMBER(B77),IF(ABS(C77-B77)&lt;=IF(A77="Average turnaround time (minutes)",1,0),"MATCH","MISMATCH"),""))</f>
        <v/>
      </c>
    </row>
    <row r="78" ht="14.25" customHeight="1" s="125">
      <c r="A78" s="165" t="inlineStr">
        <is>
          <t>Reason: Others</t>
        </is>
      </c>
      <c r="B78" s="178">
        <f>COUNTIF($H$56:$H$65,"Others")</f>
        <v/>
      </c>
      <c r="C78" s="166" t="n"/>
      <c r="D78" s="179">
        <f>IF(C78="","",IF(ISNUMBER(B78),IF(ABS(C78-B78)&lt;=IF(A78="Average turnaround time (minutes)",1,0),"MATCH","MISMATCH"),""))</f>
        <v/>
      </c>
    </row>
    <row r="79" ht="14.25" customHeight="1" s="125">
      <c r="A79" s="165" t="inlineStr">
        <is>
          <t>Incoming from Government facilities</t>
        </is>
      </c>
      <c r="B79" s="178">
        <f>COUNTIFS($D$56:$D$65,"Incoming",$E$56:$E$65,"Government")</f>
        <v/>
      </c>
      <c r="C79" s="166" t="n"/>
      <c r="D79" s="179">
        <f>IF(C79="","",IF(ISNUMBER(B79),IF(ABS(C79-B79)&lt;=IF(A79="Average turnaround time (minutes)",1,0),"MATCH","MISMATCH"),""))</f>
        <v/>
      </c>
    </row>
    <row r="80" ht="14.25" customHeight="1" s="125">
      <c r="A80" s="165" t="inlineStr">
        <is>
          <t>Incoming from Private facilities</t>
        </is>
      </c>
      <c r="B80" s="178">
        <f>COUNTIFS($D$56:$D$65,"Incoming",$E$56:$E$65,"Private")</f>
        <v/>
      </c>
      <c r="C80" s="166" t="n"/>
      <c r="D80" s="179">
        <f>IF(C80="","",IF(ISNUMBER(B80),IF(ABS(C80-B80)&lt;=IF(A80="Average turnaround time (minutes)",1,0),"MATCH","MISMATCH"),""))</f>
        <v/>
      </c>
    </row>
    <row r="81" ht="14.25" customHeight="1" s="125">
      <c r="A81" s="165" t="inlineStr">
        <is>
          <t>Outgoing — Government referring facility</t>
        </is>
      </c>
      <c r="B81" s="178">
        <f>COUNTIFS($D$56:$D$65,"Outgoing",$E$56:$E$65,"Government")</f>
        <v/>
      </c>
      <c r="C81" s="166" t="n"/>
      <c r="D81" s="179">
        <f>IF(C81="","",IF(ISNUMBER(B81),IF(ABS(C81-B81)&lt;=IF(A81="Average turnaround time (minutes)",1,0),"MATCH","MISMATCH"),""))</f>
        <v/>
      </c>
    </row>
    <row r="82" ht="14.25" customHeight="1" s="125">
      <c r="A82" s="165" t="inlineStr">
        <is>
          <t>Outgoing — Private referring facility</t>
        </is>
      </c>
      <c r="B82" s="178">
        <f>COUNTIFS($D$56:$D$65,"Outgoing",$E$56:$E$65,"Private")</f>
        <v/>
      </c>
      <c r="C82" s="166" t="n"/>
      <c r="D82" s="179">
        <f>IF(C82="","",IF(ISNUMBER(B82),IF(ABS(C82-B82)&lt;=IF(A82="Average turnaround time (minutes)",1,0),"MATCH","MISMATCH"),""))</f>
        <v/>
      </c>
    </row>
    <row r="83" ht="14.25" customHeight="1" s="125">
      <c r="A83" s="165" t="inlineStr">
        <is>
          <t>By receiving capability: RHU</t>
        </is>
      </c>
      <c r="B83" s="178">
        <f>COUNTIF($F$56:$F$65,"RHU")</f>
        <v/>
      </c>
      <c r="C83" s="166" t="n"/>
      <c r="D83" s="179">
        <f>IF(C83="","",IF(ISNUMBER(B83),IF(ABS(C83-B83)&lt;=IF(A83="Average turnaround time (minutes)",1,0),"MATCH","MISMATCH"),""))</f>
        <v/>
      </c>
    </row>
    <row r="84" ht="14.25" customHeight="1" s="125">
      <c r="A84" s="165" t="inlineStr">
        <is>
          <t>By receiving capability: Infirmary</t>
        </is>
      </c>
      <c r="B84" s="178">
        <f>COUNTIF($F$56:$F$65,"Infirmary")</f>
        <v/>
      </c>
      <c r="C84" s="166" t="n"/>
      <c r="D84" s="179">
        <f>IF(C84="","",IF(ISNUMBER(B84),IF(ABS(C84-B84)&lt;=IF(A84="Average turnaround time (minutes)",1,0),"MATCH","MISMATCH"),""))</f>
        <v/>
      </c>
    </row>
    <row r="85" ht="14.25" customHeight="1" s="125">
      <c r="A85" s="165" t="inlineStr">
        <is>
          <t>By receiving capability: Level 1</t>
        </is>
      </c>
      <c r="B85" s="178">
        <f>COUNTIF($F$56:$F$65,"Level 1")</f>
        <v/>
      </c>
      <c r="C85" s="166" t="n"/>
      <c r="D85" s="179">
        <f>IF(C85="","",IF(ISNUMBER(B85),IF(ABS(C85-B85)&lt;=IF(A85="Average turnaround time (minutes)",1,0),"MATCH","MISMATCH"),""))</f>
        <v/>
      </c>
    </row>
    <row r="86" ht="14.25" customHeight="1" s="125">
      <c r="A86" s="165" t="inlineStr">
        <is>
          <t>By receiving capability: Level 2</t>
        </is>
      </c>
      <c r="B86" s="178">
        <f>COUNTIF($F$56:$F$65,"Level 2")</f>
        <v/>
      </c>
      <c r="C86" s="166" t="n"/>
      <c r="D86" s="179">
        <f>IF(C86="","",IF(ISNUMBER(B86),IF(ABS(C86-B86)&lt;=IF(A86="Average turnaround time (minutes)",1,0),"MATCH","MISMATCH"),""))</f>
        <v/>
      </c>
    </row>
    <row r="87" ht="14.25" customHeight="1" s="125">
      <c r="A87" s="165" t="inlineStr">
        <is>
          <t>By receiving capability: Level 3</t>
        </is>
      </c>
      <c r="B87" s="178">
        <f>COUNTIF($F$56:$F$65,"Level 3")</f>
        <v/>
      </c>
      <c r="C87" s="166" t="n"/>
      <c r="D87" s="179">
        <f>IF(C87="","",IF(ISNUMBER(B87),IF(ABS(C87-B87)&lt;=IF(A87="Average turnaround time (minutes)",1,0),"MATCH","MISMATCH"),""))</f>
        <v/>
      </c>
    </row>
    <row r="88" ht="14.25" customHeight="1" s="125">
      <c r="A88" s="165" t="inlineStr">
        <is>
          <t>Average turnaround time (minutes)</t>
        </is>
      </c>
      <c r="B88" s="180">
        <f>IFERROR(AVERAGE($L$56:$L$65),"Enter times first")</f>
        <v/>
      </c>
      <c r="C88" s="166" t="n"/>
      <c r="D88" s="179">
        <f>IF(C88="","",IF(ISNUMBER(B88),IF(ABS(C88-B88)&lt;=IF(A88="Average turnaround time (minutes)",1,0),"MATCH","MISMATCH"),""))</f>
        <v/>
      </c>
    </row>
    <row r="89" ht="14.25" customHeight="1" s="125">
      <c r="A89" s="165" t="inlineStr">
        <is>
          <t>Morbidity rank 1: J18.9 Pneumonia</t>
        </is>
      </c>
      <c r="B89" s="178">
        <f>COUNTIF($M$56:$M$65,"J18.9*")</f>
        <v/>
      </c>
      <c r="C89" s="166" t="n"/>
      <c r="D89" s="179">
        <f>IF(C89="","",IF(ISNUMBER(B89),IF(ABS(C89-B89)&lt;=IF(A89="Average turnaround time (minutes)",1,0),"MATCH","MISMATCH"),""))</f>
        <v/>
      </c>
    </row>
    <row r="90" ht="14.25" customHeight="1" s="125">
      <c r="A90" s="165" t="inlineStr">
        <is>
          <t>Morbidity rank 2: O14.1 Severe pre-eclampsia</t>
        </is>
      </c>
      <c r="B90" s="178">
        <f>COUNTIF($M$56:$M$65,"O14.1*")</f>
        <v/>
      </c>
      <c r="C90" s="166" t="n"/>
      <c r="D90" s="179">
        <f>IF(C90="","",IF(ISNUMBER(B90),IF(ABS(C90-B90)&lt;=IF(A90="Average turnaround time (minutes)",1,0),"MATCH","MISMATCH"),""))</f>
        <v/>
      </c>
    </row>
    <row r="91" ht="14.25" customHeight="1" s="125">
      <c r="A91" s="165" t="inlineStr">
        <is>
          <t>Morbidity rank 3: I10 Essential hypertension</t>
        </is>
      </c>
      <c r="B91" s="178">
        <f>COUNTIF($M$56:$M$65,"I10*")</f>
        <v/>
      </c>
      <c r="C91" s="166" t="n"/>
      <c r="D91" s="179">
        <f>IF(C91="","",IF(ISNUMBER(B91),IF(ABS(C91-B91)&lt;=IF(A91="Average turnaround time (minutes)",1,0),"MATCH","MISMATCH"),""))</f>
        <v/>
      </c>
    </row>
    <row r="92" ht="14.25" customHeight="1" s="125">
      <c r="A92" s="165" t="inlineStr">
        <is>
          <t>Morbidity rank 4: A09 Infectious gastroenteritis</t>
        </is>
      </c>
      <c r="B92" s="178">
        <f>COUNTIF($M$56:$M$65,"A09*")</f>
        <v/>
      </c>
      <c r="C92" s="166" t="n"/>
      <c r="D92" s="179">
        <f>IF(C92="","",IF(ISNUMBER(B92),IF(ABS(C92-B92)&lt;=IF(A92="Average turnaround time (minutes)",1,0),"MATCH","MISMATCH"),""))</f>
        <v/>
      </c>
    </row>
    <row r="93"/>
    <row r="94" ht="14.25" customHeight="1" s="125">
      <c r="A94" s="163" t="inlineStr">
        <is>
          <t>Average TAT tolerance: ±1 minute (rounding). All other values must match exactly.</t>
        </is>
      </c>
    </row>
    <row r="95"/>
    <row r="96"/>
    <row r="97" ht="14.25" customHeight="1" s="125">
      <c r="A97" s="171" t="inlineStr">
        <is>
          <t>SECTION C — Level 3 edge cases: 6 referrals PRE-LOADED BY THE DOH on the SHR with fixed timestamps, addressed to Facility A (the system under test), in a SEPARATE reporting month so Section B results do not change.</t>
        </is>
      </c>
    </row>
    <row r="98" ht="30" customHeight="1" s="125">
      <c r="A98" s="128" t="inlineStr">
        <is>
          <t>Enter the reporting month and the timestamps the DOH loaded (yellow). C1 must be referred at 23:50 on the last day of the reporting month and received after midnight; C2–C6 are referred within the month. Run the reports once (first run), then apply the late updates in the receiving EMR (C2 → rejected, C5 → completed) and run them again. Expected Results calculate automatically.</t>
        </is>
      </c>
    </row>
    <row r="99" ht="23.85" customHeight="1" s="125">
      <c r="A99" s="178" t="inlineStr">
        <is>
          <t>Reporting month (any date in the month):</t>
        </is>
      </c>
      <c r="B99" s="181" t="n"/>
    </row>
    <row r="100" ht="30" customHeight="1" s="125">
      <c r="A100" s="167" t="inlineStr">
        <is>
          <t>#</t>
        </is>
      </c>
      <c r="B100" s="167" t="inlineStr">
        <is>
          <t>Business identifier</t>
        </is>
      </c>
      <c r="C100" s="167" t="inlineStr">
        <is>
          <t>Referring facility</t>
        </is>
      </c>
      <c r="D100" s="167" t="inlineStr">
        <is>
          <t>Ownership</t>
        </is>
      </c>
      <c r="E100" s="167" t="inlineStr">
        <is>
          <t>Direction (for Facility A)</t>
        </is>
      </c>
      <c r="F100" s="167" t="inlineStr">
        <is>
          <t>Category</t>
        </is>
      </c>
      <c r="G100" s="167" t="inlineStr">
        <is>
          <t>Reason for referral</t>
        </is>
      </c>
      <c r="H100" s="167" t="inlineStr">
        <is>
          <t>Status at first run</t>
        </is>
      </c>
      <c r="I100" s="167" t="inlineStr">
        <is>
          <t>Status after late update</t>
        </is>
      </c>
      <c r="J100" s="167" t="inlineStr">
        <is>
          <t>Date/time referred</t>
        </is>
      </c>
      <c r="K100" s="167" t="inlineStr">
        <is>
          <t>Date/time first received</t>
        </is>
      </c>
      <c r="L100" s="167" t="inlineStr">
        <is>
          <t>Cancelled?</t>
        </is>
      </c>
      <c r="M100" s="167" t="inlineStr">
        <is>
          <t>TAT (minutes)</t>
        </is>
      </c>
      <c r="N100" s="167" t="inlineStr">
        <is>
          <t>Notes</t>
        </is>
      </c>
    </row>
    <row r="101" ht="27" customHeight="1" s="125">
      <c r="A101" s="172" t="inlineStr">
        <is>
          <t>C1</t>
        </is>
      </c>
      <c r="B101" s="172" t="inlineStr">
        <is>
          <t>C-001</t>
        </is>
      </c>
      <c r="C101" s="172" t="inlineStr">
        <is>
          <t>Facility E</t>
        </is>
      </c>
      <c r="D101" s="172" t="inlineStr">
        <is>
          <t>Government</t>
        </is>
      </c>
      <c r="E101" s="172" t="inlineStr">
        <is>
          <t>Incoming</t>
        </is>
      </c>
      <c r="F101" s="172" t="inlineStr">
        <is>
          <t>Emergency</t>
        </is>
      </c>
      <c r="G101" s="172" t="inlineStr">
        <is>
          <t>Consultation</t>
        </is>
      </c>
      <c r="H101" s="172" t="inlineStr">
        <is>
          <t>Received</t>
        </is>
      </c>
      <c r="I101" s="172" t="inlineStr">
        <is>
          <t>Received</t>
        </is>
      </c>
      <c r="J101" s="176" t="n"/>
      <c r="K101" s="176" t="n"/>
      <c r="L101" s="172" t="inlineStr">
        <is>
          <t>No</t>
        </is>
      </c>
      <c r="M101" s="182">
        <f>IF(AND(ISNUMBER(J101),ISNUMBER(K101)),(K101-J101)*1440,"")</f>
        <v/>
      </c>
      <c r="N101" s="172" t="inlineStr">
        <is>
          <t>Referred 23:50 on the last day of the reporting month; received 00:20 next day</t>
        </is>
      </c>
    </row>
    <row r="102" ht="27" customHeight="1" s="125">
      <c r="A102" s="172" t="inlineStr">
        <is>
          <t>C2</t>
        </is>
      </c>
      <c r="B102" s="172" t="inlineStr">
        <is>
          <t>C-002</t>
        </is>
      </c>
      <c r="C102" s="172" t="inlineStr">
        <is>
          <t>Facility F</t>
        </is>
      </c>
      <c r="D102" s="172" t="inlineStr">
        <is>
          <t>Private</t>
        </is>
      </c>
      <c r="E102" s="172" t="inlineStr">
        <is>
          <t>Incoming</t>
        </is>
      </c>
      <c r="F102" s="172" t="inlineStr">
        <is>
          <t>Outpatient</t>
        </is>
      </c>
      <c r="G102" s="172" t="inlineStr">
        <is>
          <t>Diagnostics</t>
        </is>
      </c>
      <c r="H102" s="172" t="inlineStr">
        <is>
          <t>Received</t>
        </is>
      </c>
      <c r="I102" s="172" t="inlineStr">
        <is>
          <t>Deferred/Denied</t>
        </is>
      </c>
      <c r="J102" s="176" t="n"/>
      <c r="K102" s="176" t="n"/>
      <c r="L102" s="172" t="inlineStr">
        <is>
          <t>No</t>
        </is>
      </c>
      <c r="M102" s="182">
        <f>IF(AND(ISNUMBER(J102),ISNUMBER(K102)),(K102-J102)*1440,"")</f>
        <v/>
      </c>
      <c r="N102" s="172" t="inlineStr">
        <is>
          <t>Tester rejects it after the first report run (late update)</t>
        </is>
      </c>
    </row>
    <row r="103" ht="27" customHeight="1" s="125">
      <c r="A103" s="172" t="inlineStr">
        <is>
          <t>C3</t>
        </is>
      </c>
      <c r="B103" s="172" t="inlineStr">
        <is>
          <t>C-002</t>
        </is>
      </c>
      <c r="C103" s="172" t="inlineStr">
        <is>
          <t>Facility F</t>
        </is>
      </c>
      <c r="D103" s="172" t="inlineStr">
        <is>
          <t>Private</t>
        </is>
      </c>
      <c r="E103" s="172" t="inlineStr">
        <is>
          <t>Incoming</t>
        </is>
      </c>
      <c r="F103" s="172" t="inlineStr">
        <is>
          <t>Outpatient</t>
        </is>
      </c>
      <c r="G103" s="172" t="inlineStr">
        <is>
          <t>Diagnostics</t>
        </is>
      </c>
      <c r="H103" s="172" t="inlineStr">
        <is>
          <t>Received</t>
        </is>
      </c>
      <c r="I103" s="172" t="inlineStr">
        <is>
          <t>Deferred/Denied</t>
        </is>
      </c>
      <c r="J103" s="176" t="n"/>
      <c r="K103" s="176" t="n"/>
      <c r="L103" s="172" t="inlineStr">
        <is>
          <t>No</t>
        </is>
      </c>
      <c r="M103" s="182">
        <f>IF(AND(ISNUMBER(J103),ISNUMBER(K103)),(K103-J103)*1440,"")</f>
        <v/>
      </c>
      <c r="N103" s="172" t="inlineStr">
        <is>
          <t>Duplicate of C2 — same business identifier; must be counted once</t>
        </is>
      </c>
    </row>
    <row r="104" ht="27" customHeight="1" s="125">
      <c r="A104" s="172" t="inlineStr">
        <is>
          <t>C4</t>
        </is>
      </c>
      <c r="B104" s="172" t="inlineStr">
        <is>
          <t>C-004</t>
        </is>
      </c>
      <c r="C104" s="172" t="inlineStr">
        <is>
          <t>Facility E</t>
        </is>
      </c>
      <c r="D104" s="172" t="inlineStr">
        <is>
          <t>Government</t>
        </is>
      </c>
      <c r="E104" s="172" t="inlineStr">
        <is>
          <t>Incoming</t>
        </is>
      </c>
      <c r="F104" s="172" t="inlineStr">
        <is>
          <t>Outpatient</t>
        </is>
      </c>
      <c r="G104" s="172" t="inlineStr">
        <is>
          <t>Procedure</t>
        </is>
      </c>
      <c r="H104" s="172" t="inlineStr">
        <is>
          <t>Cancelled</t>
        </is>
      </c>
      <c r="I104" s="172" t="inlineStr">
        <is>
          <t>Cancelled</t>
        </is>
      </c>
      <c r="J104" s="176" t="n"/>
      <c r="K104" s="176" t="n"/>
      <c r="L104" s="172" t="inlineStr">
        <is>
          <t>Yes</t>
        </is>
      </c>
      <c r="M104" s="182">
        <f>IF(AND(ISNUMBER(J104),ISNUMBER(K104)),(K104-J104)*1440,"")</f>
        <v/>
      </c>
      <c r="N104" s="172" t="inlineStr">
        <is>
          <t>Cancelled by the referring facility (Task.status = cancelled)</t>
        </is>
      </c>
    </row>
    <row r="105" ht="27" customHeight="1" s="125">
      <c r="A105" s="172" t="inlineStr">
        <is>
          <t>C5</t>
        </is>
      </c>
      <c r="B105" s="172" t="inlineStr">
        <is>
          <t>C-005</t>
        </is>
      </c>
      <c r="C105" s="172" t="inlineStr">
        <is>
          <t>Facility F</t>
        </is>
      </c>
      <c r="D105" s="172" t="inlineStr">
        <is>
          <t>Private</t>
        </is>
      </c>
      <c r="E105" s="172" t="inlineStr">
        <is>
          <t>Incoming</t>
        </is>
      </c>
      <c r="F105" s="172" t="inlineStr">
        <is>
          <t>Emergency</t>
        </is>
      </c>
      <c r="G105" s="172" t="inlineStr">
        <is>
          <t>Consultation</t>
        </is>
      </c>
      <c r="H105" s="172" t="inlineStr">
        <is>
          <t>Accepted</t>
        </is>
      </c>
      <c r="I105" s="172" t="inlineStr">
        <is>
          <t>Completed</t>
        </is>
      </c>
      <c r="J105" s="176" t="n"/>
      <c r="K105" s="176" t="n"/>
      <c r="L105" s="172" t="inlineStr">
        <is>
          <t>No</t>
        </is>
      </c>
      <c r="M105" s="182">
        <f>IF(AND(ISNUMBER(J105),ISNUMBER(K105)),(K105-J105)*1440,"")</f>
        <v/>
      </c>
      <c r="N105" s="172" t="inlineStr">
        <is>
          <t>Tester completes it after the first report run</t>
        </is>
      </c>
    </row>
    <row r="106" ht="27" customHeight="1" s="125">
      <c r="A106" s="172" t="inlineStr">
        <is>
          <t>C6</t>
        </is>
      </c>
      <c r="B106" s="172" t="inlineStr">
        <is>
          <t>C-006</t>
        </is>
      </c>
      <c r="C106" s="172" t="inlineStr">
        <is>
          <t>Facility F</t>
        </is>
      </c>
      <c r="D106" s="172" t="inlineStr">
        <is>
          <t>Private</t>
        </is>
      </c>
      <c r="E106" s="172" t="inlineStr">
        <is>
          <t>Incoming</t>
        </is>
      </c>
      <c r="F106" s="172" t="inlineStr">
        <is>
          <t>Emergency</t>
        </is>
      </c>
      <c r="G106" s="172" t="inlineStr">
        <is>
          <t>Others</t>
        </is>
      </c>
      <c r="H106" s="172" t="inlineStr">
        <is>
          <t>Received</t>
        </is>
      </c>
      <c r="I106" s="172" t="inlineStr">
        <is>
          <t>Received</t>
        </is>
      </c>
      <c r="J106" s="176" t="n"/>
      <c r="K106" s="176" t="n"/>
      <c r="L106" s="172" t="inlineStr">
        <is>
          <t>No</t>
        </is>
      </c>
      <c r="M106" s="182">
        <f>IF(AND(ISNUMBER(J106),ISNUMBER(K106)),(K106-J106)*1440,"")</f>
        <v/>
      </c>
      <c r="N106" s="172" t="inlineStr">
        <is>
          <t>Filter-combination case</t>
        </is>
      </c>
    </row>
    <row r="107"/>
    <row r="108" ht="14.25" customHeight="1" s="125">
      <c r="A108" s="171" t="inlineStr">
        <is>
          <t>SECTION C — EXPECTED RESULTS (auto-calculated; compare with the system’s reports — L3-17 to L3-21)</t>
        </is>
      </c>
    </row>
    <row r="109" ht="14.25" customHeight="1" s="125">
      <c r="A109" s="167" t="inlineStr">
        <is>
          <t>Expected result</t>
        </is>
      </c>
      <c r="B109" s="167" t="inlineStr">
        <is>
          <t>Expected value</t>
        </is>
      </c>
      <c r="C109" s="167" t="inlineStr">
        <is>
          <t>Value in system report</t>
        </is>
      </c>
      <c r="D109" s="167" t="inlineStr">
        <is>
          <t>Match?</t>
        </is>
      </c>
      <c r="E109" s="167" t="inlineStr">
        <is>
          <t>Criterion</t>
        </is>
      </c>
    </row>
    <row r="110" ht="27" customHeight="1" s="125">
      <c r="A110" s="178" t="inlineStr">
        <is>
          <t>C1 counted in the reporting month (Yes / No)</t>
        </is>
      </c>
      <c r="B110" s="179">
        <f>IF($B$99="","Enter month first",IF(TEXT(J101,"yyyymm")=TEXT($B$99,"yyyymm"),"Yes","No"))</f>
        <v/>
      </c>
      <c r="C110" s="166" t="n"/>
      <c r="D110" s="179">
        <f>IF(C110="","",IF(AND(ISNUMBER(C110),ISNUMBER(B110)),IF(ABS(C110-B110)&lt;=0,"MATCH","MISMATCH"),IF(TRIM(C110&amp;"")=TRIM(B110&amp;""),"MATCH","MISMATCH")))</f>
        <v/>
      </c>
      <c r="E110" s="178" t="inlineStr">
        <is>
          <t>L3-17.1</t>
        </is>
      </c>
    </row>
    <row r="111" ht="27" customHeight="1" s="125">
      <c r="A111" s="178" t="inlineStr">
        <is>
          <t>Referrals in the reporting month (distinct, excluding cancelled)</t>
        </is>
      </c>
      <c r="B111" s="179">
        <f>IF(OR($B$99="",COUNT($J$101:$J$106)&lt;6),"Enter month and dates first",SUMPRODUCT((TEXT($J$101:$J$106,"yyyymm")=TEXT($B$99,"yyyymm"))*($L$101:$L$106="No")/COUNTIFS($B$101:$B$106,$B$101:$B$106)))</f>
        <v/>
      </c>
      <c r="C111" s="166" t="n"/>
      <c r="D111" s="179">
        <f>IF(C111="","",IF(AND(ISNUMBER(C111),ISNUMBER(B111)),IF(ABS(C111-B111)&lt;=0,"MATCH","MISMATCH"),IF(TRIM(C111&amp;"")=TRIM(B111&amp;""),"MATCH","MISMATCH")))</f>
        <v/>
      </c>
      <c r="E111" s="178" t="inlineStr">
        <is>
          <t>L3-17.2</t>
        </is>
      </c>
    </row>
    <row r="112" ht="27" customHeight="1" s="125">
      <c r="A112" s="178" t="inlineStr">
        <is>
          <t>Referrals in the following month</t>
        </is>
      </c>
      <c r="B112" s="179">
        <f>IF(OR($B$99="",COUNT($J$101:$J$106)&lt;6),"Enter month and dates first",SUMPRODUCT((TEXT($J$101:$J$106,"yyyymm")=TEXT(EDATE($B$99,1),"yyyymm"))*($L$101:$L$106="No")/COUNTIFS($B$101:$B$106,$B$101:$B$106)))</f>
        <v/>
      </c>
      <c r="C112" s="166" t="n"/>
      <c r="D112" s="179">
        <f>IF(C112="","",IF(AND(ISNUMBER(C112),ISNUMBER(B112)),IF(ABS(C112-B112)&lt;=0,"MATCH","MISMATCH"),IF(TRIM(C112&amp;"")=TRIM(B112&amp;""),"MATCH","MISMATCH")))</f>
        <v/>
      </c>
      <c r="E112" s="178" t="inlineStr">
        <is>
          <t>L3-17.3</t>
        </is>
      </c>
    </row>
    <row r="113" ht="27" customHeight="1" s="125">
      <c r="A113" s="178" t="inlineStr">
        <is>
          <t>Times referral C-002 appears in the linelist (duplicate counted once)</t>
        </is>
      </c>
      <c r="B113" s="179">
        <f>1</f>
        <v/>
      </c>
      <c r="C113" s="166" t="n"/>
      <c r="D113" s="179">
        <f>IF(C113="","",IF(AND(ISNUMBER(C113),ISNUMBER(B113)),IF(ABS(C113-B113)&lt;=0,"MATCH","MISMATCH"),IF(TRIM(C113&amp;"")=TRIM(B113&amp;""),"MATCH","MISMATCH")))</f>
        <v/>
      </c>
      <c r="E113" s="178" t="inlineStr">
        <is>
          <t>L3-18.1</t>
        </is>
      </c>
    </row>
    <row r="114" ht="27" customHeight="1" s="125">
      <c r="A114" s="178" t="inlineStr">
        <is>
          <t>Cancelled referrals shown as cancelled</t>
        </is>
      </c>
      <c r="B114" s="179">
        <f>COUNTIF($L$101:$L$106,"Yes")</f>
        <v/>
      </c>
      <c r="C114" s="166" t="n"/>
      <c r="D114" s="179">
        <f>IF(C114="","",IF(AND(ISNUMBER(C114),ISNUMBER(B114)),IF(ABS(C114-B114)&lt;=0,"MATCH","MISMATCH"),IF(TRIM(C114&amp;"")=TRIM(B114&amp;""),"MATCH","MISMATCH")))</f>
        <v/>
      </c>
      <c r="E114" s="178" t="inlineStr">
        <is>
          <t>L3-18.2</t>
        </is>
      </c>
    </row>
    <row r="115" ht="27" customHeight="1" s="125">
      <c r="A115" s="178" t="inlineStr">
        <is>
          <t>First run — Received (distinct)</t>
        </is>
      </c>
      <c r="B115" s="179">
        <f>IF(OR($B$99="",COUNT($J$101:$J$106)&lt;6),"Enter month and dates first",SUMPRODUCT((TEXT($J$101:$J$106,"yyyymm")=TEXT($B$99,"yyyymm"))*($H$101:$H$106="Received")*($L$101:$L$106="No")/COUNTIFS($B$101:$B$106,$B$101:$B$106)))</f>
        <v/>
      </c>
      <c r="C115" s="166" t="n"/>
      <c r="D115" s="179">
        <f>IF(C115="","",IF(AND(ISNUMBER(C115),ISNUMBER(B115)),IF(ABS(C115-B115)&lt;=0,"MATCH","MISMATCH"),IF(TRIM(C115&amp;"")=TRIM(B115&amp;""),"MATCH","MISMATCH")))</f>
        <v/>
      </c>
      <c r="E115" s="178" t="inlineStr">
        <is>
          <t>L3-19</t>
        </is>
      </c>
    </row>
    <row r="116" ht="27" customHeight="1" s="125">
      <c r="A116" s="178" t="inlineStr">
        <is>
          <t>First run — Accepted (distinct)</t>
        </is>
      </c>
      <c r="B116" s="179">
        <f>IF(OR($B$99="",COUNT($J$101:$J$106)&lt;6),"Enter month and dates first",SUMPRODUCT((TEXT($J$101:$J$106,"yyyymm")=TEXT($B$99,"yyyymm"))*($H$101:$H$106="Accepted")*($L$101:$L$106="No")/COUNTIFS($B$101:$B$106,$B$101:$B$106)))</f>
        <v/>
      </c>
      <c r="C116" s="166" t="n"/>
      <c r="D116" s="179">
        <f>IF(C116="","",IF(AND(ISNUMBER(C116),ISNUMBER(B116)),IF(ABS(C116-B116)&lt;=0,"MATCH","MISMATCH"),IF(TRIM(C116&amp;"")=TRIM(B116&amp;""),"MATCH","MISMATCH")))</f>
        <v/>
      </c>
      <c r="E116" s="178" t="inlineStr">
        <is>
          <t>L3-19</t>
        </is>
      </c>
    </row>
    <row r="117" ht="27" customHeight="1" s="125">
      <c r="A117" s="178" t="inlineStr">
        <is>
          <t>After late update — Received (distinct)</t>
        </is>
      </c>
      <c r="B117" s="179">
        <f>IF(OR($B$99="",COUNT($J$101:$J$106)&lt;6),"Enter month and dates first",SUMPRODUCT((TEXT($J$101:$J$106,"yyyymm")=TEXT($B$99,"yyyymm"))*($I$101:$I$106="Received")*($L$101:$L$106="No")/COUNTIFS($B$101:$B$106,$B$101:$B$106)))</f>
        <v/>
      </c>
      <c r="C117" s="166" t="n"/>
      <c r="D117" s="179">
        <f>IF(C117="","",IF(AND(ISNUMBER(C117),ISNUMBER(B117)),IF(ABS(C117-B117)&lt;=0,"MATCH","MISMATCH"),IF(TRIM(C117&amp;"")=TRIM(B117&amp;""),"MATCH","MISMATCH")))</f>
        <v/>
      </c>
      <c r="E117" s="178" t="inlineStr">
        <is>
          <t>L3-19.1</t>
        </is>
      </c>
    </row>
    <row r="118" ht="27" customHeight="1" s="125">
      <c r="A118" s="178" t="inlineStr">
        <is>
          <t>After late update — Deferred / denied (distinct)</t>
        </is>
      </c>
      <c r="B118" s="179">
        <f>IF(OR($B$99="",COUNT($J$101:$J$106)&lt;6),"Enter month and dates first",SUMPRODUCT((TEXT($J$101:$J$106,"yyyymm")=TEXT($B$99,"yyyymm"))*($I$101:$I$106="Deferred/Denied")*($L$101:$L$106="No")/COUNTIFS($B$101:$B$106,$B$101:$B$106)))</f>
        <v/>
      </c>
      <c r="C118" s="166" t="n"/>
      <c r="D118" s="179">
        <f>IF(C118="","",IF(AND(ISNUMBER(C118),ISNUMBER(B118)),IF(ABS(C118-B118)&lt;=0,"MATCH","MISMATCH"),IF(TRIM(C118&amp;"")=TRIM(B118&amp;""),"MATCH","MISMATCH")))</f>
        <v/>
      </c>
      <c r="E118" s="178" t="inlineStr">
        <is>
          <t>L3-19.1</t>
        </is>
      </c>
    </row>
    <row r="119" ht="27" customHeight="1" s="125">
      <c r="A119" s="178" t="inlineStr">
        <is>
          <t>After late update — Completed (distinct)</t>
        </is>
      </c>
      <c r="B119" s="179">
        <f>IF(OR($B$99="",COUNT($J$101:$J$106)&lt;6),"Enter month and dates first",SUMPRODUCT((TEXT($J$101:$J$106,"yyyymm")=TEXT($B$99,"yyyymm"))*($I$101:$I$106="Completed")*($L$101:$L$106="No")/COUNTIFS($B$101:$B$106,$B$101:$B$106)))</f>
        <v/>
      </c>
      <c r="C119" s="166" t="n"/>
      <c r="D119" s="179">
        <f>IF(C119="","",IF(AND(ISNUMBER(C119),ISNUMBER(B119)),IF(ABS(C119-B119)&lt;=0,"MATCH","MISMATCH"),IF(TRIM(C119&amp;"")=TRIM(B119&amp;""),"MATCH","MISMATCH")))</f>
        <v/>
      </c>
      <c r="E119" s="178" t="inlineStr">
        <is>
          <t>L3-19.3</t>
        </is>
      </c>
    </row>
    <row r="120" ht="27" customHeight="1" s="125">
      <c r="A120" s="178" t="inlineStr">
        <is>
          <t>TAT of C2 in minutes (first received − referred)</t>
        </is>
      </c>
      <c r="B120" s="179">
        <f>IF(M102="","Enter times first",M102)</f>
        <v/>
      </c>
      <c r="C120" s="166" t="n"/>
      <c r="D120" s="179">
        <f>IF(C120="","",IF(AND(ISNUMBER(C120),ISNUMBER(B120)),IF(ABS(C120-B120)&lt;=1,"MATCH","MISMATCH"),IF(TRIM(C120&amp;"")=TRIM(B120&amp;""),"MATCH","MISMATCH")))</f>
        <v/>
      </c>
      <c r="E120" s="178" t="inlineStr">
        <is>
          <t>L3-19.2</t>
        </is>
      </c>
    </row>
    <row r="121" ht="27" customHeight="1" s="125">
      <c r="A121" s="178" t="inlineStr">
        <is>
          <t>Filter: Incoming + Private + Emergency (Section C)</t>
        </is>
      </c>
      <c r="B121" s="179">
        <f>IF(OR($B$99="",COUNT($J$101:$J$106)&lt;6),"Enter month and dates first",SUMPRODUCT((TEXT($J$101:$J$106,"yyyymm")=TEXT($B$99,"yyyymm"))*($E$101:$E$106="Incoming")*($D$101:$D$106="Private")*($F$101:$F$106="Emergency")*($L$101:$L$106="No")/COUNTIFS($B$101:$B$106,$B$101:$B$106)))</f>
        <v/>
      </c>
      <c r="C121" s="166" t="n"/>
      <c r="D121" s="179">
        <f>IF(C121="","",IF(AND(ISNUMBER(C121),ISNUMBER(B121)),IF(ABS(C121-B121)&lt;=0,"MATCH","MISMATCH"),IF(TRIM(C121&amp;"")=TRIM(B121&amp;""),"MATCH","MISMATCH")))</f>
        <v/>
      </c>
      <c r="E121" s="178" t="inlineStr">
        <is>
          <t>L3-20.1</t>
        </is>
      </c>
    </row>
    <row r="122" ht="27" customHeight="1" s="125">
      <c r="A122" s="178" t="inlineStr">
        <is>
          <t>Filter: Outgoing + Level 2 receiving capability + Consultation (Section B)</t>
        </is>
      </c>
      <c r="B122" s="179">
        <f>COUNTIFS($D$56:$D$65,"Outgoing",$F$56:$F$65,"Level 2",$H$56:$H$65,"Consultation")</f>
        <v/>
      </c>
      <c r="C122" s="166" t="n"/>
      <c r="D122" s="179">
        <f>IF(C122="","",IF(AND(ISNUMBER(C122),ISNUMBER(B122)),IF(ABS(C122-B122)&lt;=0,"MATCH","MISMATCH"),IF(TRIM(C122&amp;"")=TRIM(B122&amp;""),"MATCH","MISMATCH")))</f>
        <v/>
      </c>
      <c r="E122" s="178" t="inlineStr">
        <is>
          <t>L3-20.2</t>
        </is>
      </c>
    </row>
    <row r="123" ht="27" customHeight="1" s="125">
      <c r="A123" s="178" t="inlineStr">
        <is>
          <t>Filter: reporting month + Facility F (Section C)</t>
        </is>
      </c>
      <c r="B123" s="179">
        <f>IF(OR($B$99="",COUNT($J$101:$J$106)&lt;6),"Enter month and dates first",SUMPRODUCT((TEXT($J$101:$J$106,"yyyymm")=TEXT($B$99,"yyyymm"))*($C$101:$C$106="Facility F")*($L$101:$L$106="No")/COUNTIFS($B$101:$B$106,$B$101:$B$106)))</f>
        <v/>
      </c>
      <c r="C123" s="166" t="n"/>
      <c r="D123" s="179">
        <f>IF(C123="","",IF(AND(ISNUMBER(C123),ISNUMBER(B123)),IF(ABS(C123-B123)&lt;=0,"MATCH","MISMATCH"),IF(TRIM(C123&amp;"")=TRIM(B123&amp;""),"MATCH","MISMATCH")))</f>
        <v/>
      </c>
      <c r="E123" s="178" t="inlineStr">
        <is>
          <t>L3-20.3</t>
        </is>
      </c>
    </row>
    <row r="124"/>
    <row r="125"/>
    <row r="126" ht="14.25" customHeight="1" s="125">
      <c r="A126" s="171" t="inlineStr">
        <is>
          <t>SECTION D — Error, duplicate and exception inputs for Level 2D (TS3 exception scenarios and TEC security checks) (expected results fixed in advance, the same for every vendor)</t>
        </is>
      </c>
    </row>
    <row r="127" ht="18" customHeight="1" s="125">
      <c r="A127" s="167" t="inlineStr">
        <is>
          <t>Test data ID</t>
        </is>
      </c>
      <c r="B127" s="167" t="inlineStr">
        <is>
          <t>Used in</t>
        </is>
      </c>
      <c r="C127" s="167" t="inlineStr">
        <is>
          <t>Input / condition</t>
        </is>
      </c>
      <c r="D127" s="167" t="inlineStr">
        <is>
          <t>Expected result</t>
        </is>
      </c>
    </row>
    <row r="128" ht="66.75" customHeight="1" s="125">
      <c r="A128" s="151" t="inlineStr">
        <is>
          <t>TD-D01</t>
        </is>
      </c>
      <c r="B128" s="172" t="inlineStr">
        <is>
          <t>TS3-01.1</t>
        </is>
      </c>
      <c r="C128" s="172" t="inlineStr">
        <is>
          <t>Referral with Patient birth date left blank (Patient.birthDate 1..1).</t>
        </is>
      </c>
      <c r="D128" s="172" t="inlineStr">
        <is>
          <t>Blocked before sending, OR SHR rejects (4xx + OperationOutcome) and EMR shows the reason; referral not marked sent. No accepted ServiceRequest from this attempt.</t>
        </is>
      </c>
    </row>
    <row r="129" ht="54" customHeight="1" s="125">
      <c r="A129" s="151" t="inlineStr">
        <is>
          <t>TD-D02</t>
        </is>
      </c>
      <c r="B129" s="172" t="inlineStr">
        <is>
          <t>TS3-01.2</t>
        </is>
      </c>
      <c r="C129" s="172" t="inlineStr">
        <is>
          <t>Referral with no receiving facility selected.</t>
        </is>
      </c>
      <c r="D129" s="172" t="inlineStr">
        <is>
          <t>Blocked before sending, OR rejection shown; referral not marked sent. No accepted ServiceRequest from this attempt.</t>
        </is>
      </c>
    </row>
    <row r="130" ht="41.25" customHeight="1" s="125">
      <c r="A130" s="151" t="inlineStr">
        <is>
          <t>TD-D03</t>
        </is>
      </c>
      <c r="B130" s="172" t="inlineStr">
        <is>
          <t>TS3-02.1, TEC-11.1</t>
        </is>
      </c>
      <c r="C130" s="172" t="inlineStr">
        <is>
          <t>Date of referral / birth date entered as 2026-02-30 (or the equivalent invalid date in the UI).</t>
        </is>
      </c>
      <c r="D130" s="172" t="inlineStr">
        <is>
          <t>Value refused or SHR rejection handled; other entered data kept. No malformed date on the SHR.</t>
        </is>
      </c>
    </row>
    <row r="131" ht="41.25" customHeight="1" s="125">
      <c r="A131" s="151" t="inlineStr">
        <is>
          <t>TD-D04</t>
        </is>
      </c>
      <c r="B131" s="172" t="inlineStr">
        <is>
          <t>TS3-02.2</t>
        </is>
      </c>
      <c r="C131" s="172" t="inlineStr">
        <is>
          <t>Heart rate entered as 'ninety'.</t>
        </is>
      </c>
      <c r="D131" s="172" t="inlineStr">
        <is>
          <t>Value refused or rejection handled. No non-numeric valueQuantity on the SHR.</t>
        </is>
      </c>
    </row>
    <row r="132" ht="28.5" customHeight="1" s="125">
      <c r="A132" s="151" t="inlineStr">
        <is>
          <t>TD-D05</t>
        </is>
      </c>
      <c r="B132" s="172" t="inlineStr">
        <is>
          <t>TS3-02.3</t>
        </is>
      </c>
      <c r="C132" s="172" t="inlineStr">
        <is>
          <t>Birth date = tomorrow's date.</t>
        </is>
      </c>
      <c r="D132" s="172" t="inlineStr">
        <is>
          <t>Value refused or rejection handled. No future birthDate on the SHR.</t>
        </is>
      </c>
    </row>
    <row r="133" ht="41.25" customHeight="1" s="125">
      <c r="A133" s="151" t="inlineStr">
        <is>
          <t>TD-D06</t>
        </is>
      </c>
      <c r="B133" s="172" t="inlineStr">
        <is>
          <t>TS3-03.1</t>
        </is>
      </c>
      <c r="C133" s="172" t="inlineStr">
        <is>
          <t>Receiving facility NHFR code 9999999 (not in the NHFR / sandbox list).</t>
        </is>
      </c>
      <c r="D133" s="172" t="inlineStr">
        <is>
          <t>Prevented or rejection handled. No referral addressed to an unknown facility.</t>
        </is>
      </c>
    </row>
    <row r="134" ht="41.25" customHeight="1" s="125">
      <c r="A134" s="151" t="inlineStr">
        <is>
          <t>TD-D07</t>
        </is>
      </c>
      <c r="B134" s="172" t="inlineStr">
        <is>
          <t>TS3-03.2</t>
        </is>
      </c>
      <c r="C134" s="172" t="inlineStr">
        <is>
          <t>Requester = practitioner not registered in the sandbox.</t>
        </is>
      </c>
      <c r="D134" s="172" t="inlineStr">
        <is>
          <t>Prevented or rejection handled. No referral with an unresolvable requester.</t>
        </is>
      </c>
    </row>
    <row r="135" ht="28.5" customHeight="1" s="125">
      <c r="A135" s="151" t="inlineStr">
        <is>
          <t>TD-D08</t>
        </is>
      </c>
      <c r="B135" s="172" t="inlineStr">
        <is>
          <t>TS3-04.1</t>
        </is>
      </c>
      <c r="C135" s="172" t="inlineStr">
        <is>
          <t>Click Send twice in quick succession for one referral.</t>
        </is>
      </c>
      <c r="D135" s="172" t="inlineStr">
        <is>
          <t>Exactly one ServiceRequest and one Task on the SHR. Count = 1 / 1.</t>
        </is>
      </c>
    </row>
    <row r="136" ht="28.5" customHeight="1" s="125">
      <c r="A136" s="151" t="inlineStr">
        <is>
          <t>TD-D09</t>
        </is>
      </c>
      <c r="B136" s="172" t="inlineStr">
        <is>
          <t>TS3-04.2</t>
        </is>
      </c>
      <c r="C136" s="172" t="inlineStr">
        <is>
          <t>Use the EMR's resend / retry on a referral already accepted by the SHR.</t>
        </is>
      </c>
      <c r="D136" s="172" t="inlineStr">
        <is>
          <t>No second referral created. Count = 1 / 1.</t>
        </is>
      </c>
    </row>
    <row r="137" ht="54" customHeight="1" s="125">
      <c r="A137" s="151" t="inlineStr">
        <is>
          <t>TD-D10</t>
        </is>
      </c>
      <c r="B137" s="172" t="inlineStr">
        <is>
          <t>TS3-05.1</t>
        </is>
      </c>
      <c r="C137" s="172" t="inlineStr">
        <is>
          <t>Network disconnected while creating and sending a referral; reconnect after 2 minutes.</t>
        </is>
      </c>
      <c r="D137" s="172" t="inlineStr">
        <is>
          <t>Queued and sent automatically, or documented fallback followed; user sees status. One copy on SHR; original authoredOn.</t>
        </is>
      </c>
    </row>
    <row r="138" ht="41.25" customHeight="1" s="125">
      <c r="A138" s="151" t="inlineStr">
        <is>
          <t>TD-D11</t>
        </is>
      </c>
      <c r="B138" s="172" t="inlineStr">
        <is>
          <t>TS3-05.2, TS3-05.3</t>
        </is>
      </c>
      <c r="C138" s="172" t="inlineStr">
        <is>
          <t>Network cut immediately after pressing Send; restored after 2 minutes.</t>
        </is>
      </c>
      <c r="D138" s="172" t="inlineStr">
        <is>
          <t>No loss; exactly one copy after recovery. One copy on SHR; original authoredOn.</t>
        </is>
      </c>
    </row>
    <row r="139" ht="41.25" customHeight="1" s="125">
      <c r="A139" s="151" t="inlineStr">
        <is>
          <t>TD-D12</t>
        </is>
      </c>
      <c r="B139" s="172" t="inlineStr">
        <is>
          <t>TS3-06</t>
        </is>
      </c>
      <c r="C139" s="172" t="inlineStr">
        <is>
          <t>Referral containing one invalid resource (e.g., Observation code outside LOINC), prepared with the developer.</t>
        </is>
      </c>
      <c r="D139" s="172" t="inlineStr">
        <is>
          <t>Whole referral rejected or cleaned up; EMR shows failure. No orphan resources on the SHR.</t>
        </is>
      </c>
    </row>
    <row r="140" ht="41.25" customHeight="1" s="125">
      <c r="A140" s="151" t="inlineStr">
        <is>
          <t>TD-D13</t>
        </is>
      </c>
      <c r="B140" s="172" t="inlineStr">
        <is>
          <t>TS3-07.1</t>
        </is>
      </c>
      <c r="C140" s="172" t="inlineStr">
        <is>
          <t>Terminology server unreachable for the test EMR (DOH blocks access or dead endpoint).</t>
        </is>
      </c>
      <c r="D140" s="172" t="inlineStr">
        <is>
          <t>Valid cached codes used, or coded fields blocked with a clear message. Every code sent is valid (TS0).</t>
        </is>
      </c>
    </row>
    <row r="141" ht="41.25" customHeight="1" s="125">
      <c r="A141" s="151" t="inlineStr">
        <is>
          <t>TD-D14</t>
        </is>
      </c>
      <c r="B141" s="172" t="inlineStr">
        <is>
          <t>TS3-07.2</t>
        </is>
      </c>
      <c r="C141" s="172" t="inlineStr">
        <is>
          <t>Facility registry / NHFR list unreachable.</t>
        </is>
      </c>
      <c r="D141" s="172" t="inlineStr">
        <is>
          <t>Cached NHFR list used, or selection blocked with a message. No free-typed facility sent.</t>
        </is>
      </c>
    </row>
    <row r="142" ht="54" customHeight="1" s="125">
      <c r="A142" s="151" t="inlineStr">
        <is>
          <t>TD-D15</t>
        </is>
      </c>
      <c r="B142" s="172" t="inlineStr">
        <is>
          <t>TS3-08</t>
        </is>
      </c>
      <c r="C142" s="172" t="inlineStr">
        <is>
          <t>System credential (EMR ↔ SHR) revoked / expired by the DOH.</t>
        </is>
      </c>
      <c r="D142" s="172" t="inlineStr">
        <is>
          <t>Understandable failure; referral stays not sent / queued; sent after restore; no secret shown. 401/403 then success after restore.</t>
        </is>
      </c>
    </row>
    <row r="143" ht="41.25" customHeight="1" s="125">
      <c r="A143" s="151" t="inlineStr">
        <is>
          <t>TD-D16</t>
        </is>
      </c>
      <c r="B143" s="172" t="inlineStr">
        <is>
          <t>TS3-09.1, TS3-09.2</t>
        </is>
      </c>
      <c r="C143" s="172" t="inlineStr">
        <is>
          <t>SHR unreachable from the receiving EMR while two referrals are submitted; restored after 5 minutes.</t>
        </is>
      </c>
      <c r="D143" s="172" t="inlineStr">
        <is>
          <t>Outage shown; both referrals appear after recovery. 2 of 2 retrieved.</t>
        </is>
      </c>
    </row>
    <row r="144" ht="28.5" customHeight="1" s="125">
      <c r="A144" s="151" t="inlineStr">
        <is>
          <t>TD-D17</t>
        </is>
      </c>
      <c r="B144" s="172" t="inlineStr">
        <is>
          <t>TS3-09.3</t>
        </is>
      </c>
      <c r="C144" s="172" t="inlineStr">
        <is>
          <t>Same notification / referral delivered or read twice.</t>
        </is>
      </c>
      <c r="D144" s="172" t="inlineStr">
        <is>
          <t>Referral listed once. 1 entry in incoming list.</t>
        </is>
      </c>
    </row>
    <row r="145" ht="41.25" customHeight="1" s="125">
      <c r="A145" s="151" t="inlineStr">
        <is>
          <t>TD-D18</t>
        </is>
      </c>
      <c r="B145" s="172" t="inlineStr">
        <is>
          <t>TEC-09.1</t>
        </is>
      </c>
      <c r="C145" s="172" t="inlineStr">
        <is>
          <t>Wrong password for a valid user ×(TB-05 limit + 1); wrong password for a non-existent user.</t>
        </is>
      </c>
      <c r="D145" s="172" t="inlineStr">
        <is>
          <t>Identical generic messages; lock-out / throttling after the limit. No user enumeration; lock-out occurs.</t>
        </is>
      </c>
    </row>
    <row r="146" ht="28.5" customHeight="1" s="125">
      <c r="A146" s="151" t="inlineStr">
        <is>
          <t>TD-D19</t>
        </is>
      </c>
      <c r="B146" s="172" t="inlineStr">
        <is>
          <t>TEC-09.2</t>
        </is>
      </c>
      <c r="C146" s="172" t="inlineStr">
        <is>
          <t>User A (Facility A) searches / opens a referral addressed only to Facility C.</t>
        </is>
      </c>
      <c r="D146" s="172" t="inlineStr">
        <is>
          <t>Not listed, not found or access denied. No Facility C data shown.</t>
        </is>
      </c>
    </row>
    <row r="147" ht="28.5" customHeight="1" s="125">
      <c r="A147" s="151" t="inlineStr">
        <is>
          <t>TD-D20</t>
        </is>
      </c>
      <c r="B147" s="172" t="inlineStr">
        <is>
          <t>TEC-09.3</t>
        </is>
      </c>
      <c r="C147" s="172" t="inlineStr">
        <is>
          <t>User A changes the referral / patient ID in the URL or API call to a Facility C record.</t>
        </is>
      </c>
      <c r="D147" s="172" t="inlineStr">
        <is>
          <t>Access denied (403 / 404 / error). No Facility C data shown.</t>
        </is>
      </c>
    </row>
    <row r="148" ht="28.5" customHeight="1" s="125">
      <c r="A148" s="151" t="inlineStr">
        <is>
          <t>TD-D21</t>
        </is>
      </c>
      <c r="B148" s="172" t="inlineStr">
        <is>
          <t>TEC-09.4</t>
        </is>
      </c>
      <c r="C148" s="172" t="inlineStr">
        <is>
          <t>Non-admin user opens an administrator URL / API and tries to change own role.</t>
        </is>
      </c>
      <c r="D148" s="172" t="inlineStr">
        <is>
          <t>Access denied; role unchanged. Role unchanged in audit log.</t>
        </is>
      </c>
    </row>
    <row r="149" ht="28.5" customHeight="1" s="125">
      <c r="A149" s="151" t="inlineStr">
        <is>
          <t>TD-D22</t>
        </is>
      </c>
      <c r="B149" s="172" t="inlineStr">
        <is>
          <t>TEC-13.1</t>
        </is>
      </c>
      <c r="C149" s="172" t="inlineStr">
        <is>
          <t>EMR pointed to a DOH sandbox endpoint with an expired / untrusted certificate.</t>
        </is>
      </c>
      <c r="D149" s="172" t="inlineStr">
        <is>
          <t>Connection refused. No data sent to that endpoint.</t>
        </is>
      </c>
    </row>
  </sheetData>
  <mergeCells count="9">
    <mergeCell ref="A126:D126"/>
    <mergeCell ref="A67:D67"/>
    <mergeCell ref="A4:D4"/>
    <mergeCell ref="A108:E108"/>
    <mergeCell ref="A98:N98"/>
    <mergeCell ref="A53:M53"/>
    <mergeCell ref="A2:M2"/>
    <mergeCell ref="A54:M54"/>
    <mergeCell ref="A97:N97"/>
  </mergeCells>
  <conditionalFormatting sqref="D69:D92">
    <cfRule type="cellIs" rank="0" priority="2" equalAverage="0" operator="equal" aboveAverage="0" dxfId="6" text="" percent="0" bottom="0">
      <formula>"MATCH"</formula>
    </cfRule>
    <cfRule type="cellIs" rank="0" priority="3" equalAverage="0" operator="equal" aboveAverage="0" dxfId="7" text="" percent="0" bottom="0">
      <formula>"MISMATCH"</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oddHeader>&amp;R&amp;7 Version unreleased draft · branch certificate-demo · commit e9c2d50 · built 2026-10-16 09:44 PHT</oddHeader>
    <oddFooter>&amp;C&amp;7 Page &amp;P of &amp;N</oddFooter>
    <evenHeader/>
    <evenFooter/>
    <firstHeader/>
    <firstFooter/>
  </headerFooter>
</worksheet>
</file>

<file path=xl/worksheets/sheet5.xml><?xml version="1.0" encoding="utf-8"?>
<worksheet xmlns="http://schemas.openxmlformats.org/spreadsheetml/2006/main">
  <sheetPr filterMode="0">
    <tabColor rgb="FF70AD47"/>
    <outlinePr summaryBelow="1" summaryRight="1"/>
    <pageSetUpPr fitToPage="1"/>
  </sheetPr>
  <dimension ref="A1:W21"/>
  <sheetViews>
    <sheetView showFormulas="0" showGridLines="1" showRowColHeaders="1" showZeros="1" rightToLeft="0" tabSelected="1"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I1" activeCellId="0" sqref="I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0 — Application &amp; Commitment</t>
        </is>
      </c>
    </row>
    <row r="2" ht="48" customHeight="1" s="125">
      <c r="A2" s="174" t="inlineStr">
        <is>
          <t>The vendor/developer formally applies and commits to the process. All items are documents. Critical items (red) must all be Met.</t>
        </is>
      </c>
    </row>
    <row r="3"/>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Summary!D7</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8"/>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25.5" customHeight="1" s="125">
      <c r="A10" s="172" t="inlineStr">
        <is>
          <t>L0-01</t>
        </is>
      </c>
      <c r="B10" s="172" t="inlineStr">
        <is>
          <t>Application</t>
        </is>
      </c>
      <c r="C10" s="172" t="inlineStr">
        <is>
          <t>Letter of application to have the EMR system tested for use in the HIE, signed by the vendor's/developer's authorized signatory</t>
        </is>
      </c>
      <c r="D10" s="172" t="inlineStr">
        <is>
          <t xml:space="preserve">Submit a letter of application on official letterhead, signed by an authorized signatory, with proof of authority (secretary's certificate / board resolution; office order for in-house systems).
Purpose: The vendor or developer formally asks to be evaluated.
</t>
        </is>
      </c>
      <c r="E10" s="172" t="inlineStr">
        <is>
          <t>Check the letter is on official letterhead, dated, and signed by an authorized signatory (with proof of authority, e.g. secretary's certificate or office order for in-house systems).</t>
        </is>
      </c>
      <c r="F10" s="172" t="inlineStr">
        <is>
          <t>Signed letter of application + proof of authority</t>
        </is>
      </c>
      <c r="G10" s="172" t="inlineStr">
        <is>
          <t>Validator</t>
        </is>
      </c>
      <c r="H10" s="188" t="inlineStr">
        <is>
          <t>Yes</t>
        </is>
      </c>
      <c r="I10" s="172" t="n">
        <v>2</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112" customHeight="1" s="125">
      <c r="A11" s="172" t="inlineStr">
        <is>
          <t>L0-02</t>
        </is>
      </c>
      <c r="B11" s="172" t="inlineStr">
        <is>
          <t>Contacts</t>
        </is>
      </c>
      <c r="C11" s="172" t="inlineStr">
        <is>
          <t>Vendor/developer contact persons designated: (1) product/technical lead, (2) integration (FHIR) developer, (3) data privacy contact</t>
        </is>
      </c>
      <c r="D11" s="172" t="inlineStr">
        <is>
          <t xml:space="preserve">Name three contact persons — product/technical lead, FHIR integration developer, data privacy contact — with position, email and mobile number.
Purpose: The DOH knows who is accountable for the product, the integration and privacy questions during testing.
</t>
        </is>
      </c>
      <c r="E11" s="172" t="inlineStr">
        <is>
          <t xml:space="preserve">Count the roles with a named person, position and contact details in the letter or designation.
Mark each sub-item (↳) below; Achieved is counted automatically.
</t>
        </is>
      </c>
      <c r="F11" s="172" t="inlineStr">
        <is>
          <t>Designation / contact list</t>
        </is>
      </c>
      <c r="G11" s="172" t="inlineStr">
        <is>
          <t>Validator</t>
        </is>
      </c>
      <c r="H11" s="188" t="inlineStr">
        <is>
          <t>Yes</t>
        </is>
      </c>
      <c r="I11" s="172" t="n">
        <v>2</v>
      </c>
      <c r="J11" s="172" t="inlineStr">
        <is>
          <t>Count</t>
        </is>
      </c>
      <c r="K11" s="189">
        <f>COUNTA(A12:A14)-COUNTIF(M12:M14,"N/A")</f>
        <v/>
      </c>
      <c r="L11" s="189">
        <f>COUNTIF(M12:M14,"Met")</f>
        <v/>
      </c>
      <c r="M11" s="190">
        <f>IF(COUNTIF(M12:M14,"N/A")=COUNTA(A12:A14),"N/A",IF(COUNTIF(M12:M14,"Not Tested")&gt;0,"Not Tested","Counted"))</f>
        <v/>
      </c>
      <c r="N11" s="191">
        <f>IF(M11="N/A",IF(H11="Yes",0,""),IF(M11="Not Tested",0,IF(J11="Tier",IF(M11="Fully integrated",1,IF(M11="Standalone - manual encoding",0.5,0)),IF(J11="Binary",IF(M11="Met",1,0),IF(M11="Counted",IF(N(K11)&gt;0,IF(J11="All-or-nothing",IF(N(L11)&gt;=K11,1,0),MIN(N(L11)/K11,1)),0),0)))))</f>
        <v/>
      </c>
      <c r="O11" s="172">
        <f>IF(COUNTIF(M12:M14,"Not Met")&gt;0,COUNTIF(M12:M14,"Not Met")&amp;" of "&amp;K11&amp;" need compliance: "&amp;_xlfn.TEXTJOIN("; ",TRUE(),U12:U14),IF(COUNTIF(M12:M14,"Not Tested")&gt;0,COUNTIF(M12:M14,"Not Tested")&amp;" of "&amp;COUNTA(A12:A14)&amp;" not yet tested",IF(M11="N/A","","All compliant")))</f>
        <v/>
      </c>
      <c r="P11" s="173" t="n"/>
      <c r="Q11" s="175">
        <f>IF(N11="",0,I11)</f>
        <v/>
      </c>
      <c r="R11" s="175">
        <f>IF(N11="",0,I11*N11)</f>
        <v/>
      </c>
      <c r="S11" s="175">
        <f>IF(OR(AND(H11="Yes",M11&lt;&gt;"Not Tested",N11&lt;&gt;"",N11&lt;1),COUNTIFS(H12:H14,"Yes",M12:M14,"Not Met")+COUNTIFS(H12:H14,"Yes",M12:M14,"N/A")&gt;0),1,0)</f>
        <v/>
      </c>
      <c r="T11" s="175" t="inlineStr">
        <is>
          <t>Criterion</t>
        </is>
      </c>
      <c r="U11" s="175" t="n"/>
      <c r="V11" s="175">
        <f>COUNTA(A12:A14)-COUNTIF(M12:M14,"Not Tested")</f>
        <v/>
      </c>
      <c r="W11" s="175">
        <f>IF(AND(T11="Criterion",I11&gt;0,M11&lt;&gt;"Not Tested",N11&lt;&gt;"",OR(N(N11)&lt;1,S11=1)),A11,"")</f>
        <v/>
      </c>
    </row>
    <row r="12" ht="29" customHeight="1" s="125">
      <c r="A12" s="193" t="inlineStr">
        <is>
          <t>L0-02.1</t>
        </is>
      </c>
      <c r="B12" s="194" t="inlineStr">
        <is>
          <t>↳ sub-item</t>
        </is>
      </c>
      <c r="C12" s="193" t="inlineStr">
        <is>
          <t>Product / technical lead named (position, email, mobile)</t>
        </is>
      </c>
      <c r="D12" s="195" t="inlineStr">
        <is>
          <t>(part of L0-02)</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Met","("&amp;1&amp;") "&amp;IF(H12="Yes","★ ","")&amp;C12,"")</f>
        <v/>
      </c>
    </row>
    <row r="13" ht="29" customHeight="1" s="125">
      <c r="A13" s="193" t="inlineStr">
        <is>
          <t>L0-02.2</t>
        </is>
      </c>
      <c r="B13" s="194" t="inlineStr">
        <is>
          <t>↳ sub-item</t>
        </is>
      </c>
      <c r="C13" s="193" t="inlineStr">
        <is>
          <t>Integration (FHIR) developer named (position, email, mobile)</t>
        </is>
      </c>
      <c r="D13" s="195" t="inlineStr">
        <is>
          <t>(part of L0-02)</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Met","("&amp;2&amp;") "&amp;IF(H13="Yes","★ ","")&amp;C13,"")</f>
        <v/>
      </c>
    </row>
    <row r="14" ht="29" customHeight="1" s="125">
      <c r="A14" s="193" t="inlineStr">
        <is>
          <t>L0-02.3</t>
        </is>
      </c>
      <c r="B14" s="194" t="inlineStr">
        <is>
          <t>↳ sub-item</t>
        </is>
      </c>
      <c r="C14" s="193" t="inlineStr">
        <is>
          <t>Data privacy contact named (position, email, mobile)</t>
        </is>
      </c>
      <c r="D14" s="195" t="inlineStr">
        <is>
          <t>(part of L0-02)</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Met","("&amp;3&amp;") "&amp;IF(H14="Yes","★ ","")&amp;C14,"")</f>
        <v/>
      </c>
    </row>
    <row r="15" ht="125.5" customHeight="1" s="125">
      <c r="A15" s="172" t="inlineStr">
        <is>
          <t>L0-03</t>
        </is>
      </c>
      <c r="B15" s="172" t="inlineStr">
        <is>
          <t>System</t>
        </is>
      </c>
      <c r="C15" s="172" t="inlineStr">
        <is>
          <t>EMR system identified: product name, version/build under test, deployment model, facility types it is offered for</t>
        </is>
      </c>
      <c r="D15" s="172" t="inlineStr">
        <is>
          <t xml:space="preserve">Complete the System Profile Sheet: product name, exact version/build to be tested, deployment model, and facility types the system is offered for.
Purpose: We know exactly which system and version is being tested; results apply to that version only.
</t>
        </is>
      </c>
      <c r="E15" s="172" t="inlineStr">
        <is>
          <t>Check System Profile A.1–A.7 and B.1–B.2 are complete and match the letter.</t>
        </is>
      </c>
      <c r="F15" s="172" t="inlineStr">
        <is>
          <t>Completed System Profile</t>
        </is>
      </c>
      <c r="G15" s="172" t="inlineStr">
        <is>
          <t>Validator</t>
        </is>
      </c>
      <c r="H15" s="188" t="inlineStr">
        <is>
          <t>Yes</t>
        </is>
      </c>
      <c r="I15" s="172" t="n">
        <v>2</v>
      </c>
      <c r="J15" s="172" t="inlineStr">
        <is>
          <t>Binary</t>
        </is>
      </c>
      <c r="K15" s="189" t="n"/>
      <c r="L15" s="189" t="n"/>
      <c r="M15" s="190" t="inlineStr">
        <is>
          <t>Not Tested</t>
        </is>
      </c>
      <c r="N15" s="191">
        <f>IF(M15="N/A",IF(H15="Yes",0,""),IF(M15="Not Tested",0,IF(J15="Tier",IF(M15="Fully integrated",1,IF(M15="Standalone - manual encoding",0.5,0)),IF(J15="Binary",IF(M15="Met",1,0),IF(M15="Counted",IF(N(K15)&gt;0,IF(J15="All-or-nothing",IF(N(L15)&gt;=K15,1,0),MIN(N(L15)/K15,1)),0),0)))))</f>
        <v/>
      </c>
      <c r="O15" s="172">
        <f>IF(M15="Not Met","Needs compliance",IF(M15="Not Tested","Not yet tested",""))</f>
        <v/>
      </c>
      <c r="P15" s="173" t="n"/>
      <c r="Q15" s="175">
        <f>IF(N15="",0,I15)</f>
        <v/>
      </c>
      <c r="R15" s="175">
        <f>IF(N15="",0,I15*N15)</f>
        <v/>
      </c>
      <c r="S15" s="175">
        <f>IF(AND(H15="Yes",M15&lt;&gt;"Not Tested",N15&lt;&gt;"",N15&lt;1),1,0)</f>
        <v/>
      </c>
      <c r="T15" s="175" t="inlineStr">
        <is>
          <t>Criterion</t>
        </is>
      </c>
      <c r="U15" s="175" t="n"/>
      <c r="V15" s="175" t="n"/>
      <c r="W15" s="175">
        <f>IF(AND(T15="Criterion",I15&gt;0,M15&lt;&gt;"Not Tested",N15&lt;&gt;"",OR(N(N15)&lt;1,S15=1)),A15,"")</f>
        <v/>
      </c>
    </row>
    <row r="16" ht="125.5" customHeight="1" s="125">
      <c r="A16" s="172" t="inlineStr">
        <is>
          <t>L0-04</t>
        </is>
      </c>
      <c r="B16" s="172" t="inlineStr">
        <is>
          <t>Commitment</t>
        </is>
      </c>
      <c r="C16" s="172" t="inlineStr">
        <is>
          <t>Signed undertaking to conform to the PH Core and PHeReF IGs, to be re-tested on IG version change or major system release, and to use only test data on the sandbox</t>
        </is>
      </c>
      <c r="D16" s="172" t="inlineStr">
        <is>
          <t xml:space="preserve">Sign the undertaking to (1) conform to PH Core and PHeReF, (2) request re-testing on IG version change or major release, and (3) use only test data on the sandbox.
Purpose: Because the IGs are drafts, the vendor agrees to keep up with updates; no real patient data is used in testing.
</t>
        </is>
      </c>
      <c r="E16" s="172" t="inlineStr">
        <is>
          <t>Check the signed undertaking names both IGs, the re-test clause and the test-data-only clause.</t>
        </is>
      </c>
      <c r="F16" s="172" t="inlineStr">
        <is>
          <t>Signed undertaking</t>
        </is>
      </c>
      <c r="G16" s="172" t="inlineStr">
        <is>
          <t>Validator</t>
        </is>
      </c>
      <c r="H16" s="188" t="inlineStr">
        <is>
          <t>Yes</t>
        </is>
      </c>
      <c r="I16" s="172" t="n">
        <v>2</v>
      </c>
      <c r="J16" s="172" t="inlineStr">
        <is>
          <t>Binary</t>
        </is>
      </c>
      <c r="K16" s="189" t="n"/>
      <c r="L16" s="189" t="n"/>
      <c r="M16" s="190" t="inlineStr">
        <is>
          <t>Not Tested</t>
        </is>
      </c>
      <c r="N16" s="191">
        <f>IF(M16="N/A",IF(H16="Yes",0,""),IF(M16="Not Tested",0,IF(J16="Tier",IF(M16="Fully integrated",1,IF(M16="Standalone - manual encoding",0.5,0)),IF(J16="Binary",IF(M16="Met",1,0),IF(M16="Counted",IF(N(K16)&gt;0,IF(J16="All-or-nothing",IF(N(L16)&gt;=K16,1,0),MIN(N(L16)/K16,1)),0),0)))))</f>
        <v/>
      </c>
      <c r="O16" s="172">
        <f>IF(M16="Not Met","Needs compliance",IF(M16="Not Tested","Not yet tested",""))</f>
        <v/>
      </c>
      <c r="P16" s="173" t="n"/>
      <c r="Q16" s="175">
        <f>IF(N16="",0,I16)</f>
        <v/>
      </c>
      <c r="R16" s="175">
        <f>IF(N16="",0,I16*N16)</f>
        <v/>
      </c>
      <c r="S16" s="175">
        <f>IF(AND(H16="Yes",M16&lt;&gt;"Not Tested",N16&lt;&gt;"",N16&lt;1),1,0)</f>
        <v/>
      </c>
      <c r="T16" s="175" t="inlineStr">
        <is>
          <t>Criterion</t>
        </is>
      </c>
      <c r="U16" s="175" t="n"/>
      <c r="V16" s="175" t="n"/>
      <c r="W16" s="175">
        <f>IF(AND(T16="Criterion",I16&gt;0,M16&lt;&gt;"Not Tested",N16&lt;&gt;"",OR(N(N16)&lt;1,S16=1)),A16,"")</f>
        <v/>
      </c>
    </row>
    <row r="17" ht="112" customHeight="1" s="125">
      <c r="A17" s="172" t="inlineStr">
        <is>
          <t>L0-05</t>
        </is>
      </c>
      <c r="B17" s="172" t="inlineStr">
        <is>
          <t>Coordination</t>
        </is>
      </c>
      <c r="C17" s="172" t="inlineStr">
        <is>
          <t>Contact persons (from L0-02) attended the initial coordination meeting with the Regional Validation Team (in person or virtual)</t>
        </is>
      </c>
      <c r="D17" s="172" t="inlineStr">
        <is>
          <t xml:space="preserve">Ensure the three contact persons attend the initial coordination meeting with the Regional Validation Team (in person or virtual) to agree on the process and schedule.
Purpose: The vendor understands the process and the schedule before testing begins.
</t>
        </is>
      </c>
      <c r="E17" s="172" t="inlineStr">
        <is>
          <t xml:space="preserve">Count the contact persons in the attendance / minutes of the coordination meeting.
Mark each sub-item (↳) below; Achieved is counted automatically.
</t>
        </is>
      </c>
      <c r="F17" s="172" t="inlineStr">
        <is>
          <t>Attendance sheet or minutes of the coordination meeting</t>
        </is>
      </c>
      <c r="G17" s="172" t="inlineStr">
        <is>
          <t>Validator</t>
        </is>
      </c>
      <c r="H17" s="188" t="inlineStr">
        <is>
          <t>No</t>
        </is>
      </c>
      <c r="I17" s="172" t="n">
        <v>1</v>
      </c>
      <c r="J17" s="172" t="inlineStr">
        <is>
          <t>Count</t>
        </is>
      </c>
      <c r="K17" s="189">
        <f>COUNTA(A18:A20)-COUNTIF(M18:M20,"N/A")</f>
        <v/>
      </c>
      <c r="L17" s="189">
        <f>COUNTIF(M18:M20,"Met")</f>
        <v/>
      </c>
      <c r="M17" s="190">
        <f>IF(COUNTIF(M18:M20,"N/A")=COUNTA(A18:A20),"N/A",IF(COUNTIF(M18:M20,"Not Tested")&gt;0,"Not Tested","Counted"))</f>
        <v/>
      </c>
      <c r="N17" s="191">
        <f>IF(M17="N/A",IF(H17="Yes",0,""),IF(M17="Not Tested",0,IF(J17="Tier",IF(M17="Fully integrated",1,IF(M17="Standalone - manual encoding",0.5,0)),IF(J17="Binary",IF(M17="Met",1,0),IF(M17="Counted",IF(N(K17)&gt;0,IF(J17="All-or-nothing",IF(N(L17)&gt;=K17,1,0),MIN(N(L17)/K17,1)),0),0)))))</f>
        <v/>
      </c>
      <c r="O17" s="172">
        <f>IF(COUNTIF(M18:M20,"Not Met")&gt;0,COUNTIF(M18:M20,"Not Met")&amp;" of "&amp;K17&amp;" need compliance: "&amp;_xlfn.TEXTJOIN("; ",TRUE(),U18:U20),IF(COUNTIF(M18:M20,"Not Tested")&gt;0,COUNTIF(M18:M20,"Not Tested")&amp;" of "&amp;COUNTA(A18:A20)&amp;" not yet tested",IF(M17="N/A","","All compliant")))</f>
        <v/>
      </c>
      <c r="P17" s="173" t="n"/>
      <c r="Q17" s="175">
        <f>IF(N17="",0,I17)</f>
        <v/>
      </c>
      <c r="R17" s="175">
        <f>IF(N17="",0,I17*N17)</f>
        <v/>
      </c>
      <c r="S17" s="175">
        <f>IF(OR(AND(H17="Yes",M17&lt;&gt;"Not Tested",N17&lt;&gt;"",N17&lt;1),COUNTIFS(H18:H20,"Yes",M18:M20,"Not Met")+COUNTIFS(H18:H20,"Yes",M18:M20,"N/A")&gt;0),1,0)</f>
        <v/>
      </c>
      <c r="T17" s="175" t="inlineStr">
        <is>
          <t>Criterion</t>
        </is>
      </c>
      <c r="U17" s="175" t="n"/>
      <c r="V17" s="175">
        <f>COUNTA(A18:A20)-COUNTIF(M18:M20,"Not Tested")</f>
        <v/>
      </c>
      <c r="W17" s="175">
        <f>IF(AND(T17="Criterion",I17&gt;0,M17&lt;&gt;"Not Tested",N17&lt;&gt;"",OR(N(N17)&lt;1,S17=1)),A17,"")</f>
        <v/>
      </c>
    </row>
    <row r="18" ht="29" customHeight="1" s="125">
      <c r="A18" s="193" t="inlineStr">
        <is>
          <t>L0-05.1</t>
        </is>
      </c>
      <c r="B18" s="194" t="inlineStr">
        <is>
          <t>↳ sub-item</t>
        </is>
      </c>
      <c r="C18" s="193" t="inlineStr">
        <is>
          <t>Product / technical lead attended the coordination meeting</t>
        </is>
      </c>
      <c r="D18" s="195" t="inlineStr">
        <is>
          <t>(part of L0-05)</t>
        </is>
      </c>
      <c r="E18" s="196" t="n"/>
      <c r="F18" s="196" t="n"/>
      <c r="G18" s="196" t="n"/>
      <c r="H18" s="196" t="n"/>
      <c r="I18" s="196" t="n"/>
      <c r="J18" s="196" t="n"/>
      <c r="K18" s="196" t="n"/>
      <c r="L18" s="196" t="n"/>
      <c r="M18" s="197" t="inlineStr">
        <is>
          <t>Not Tested</t>
        </is>
      </c>
      <c r="N18" s="196" t="n"/>
      <c r="O18" s="193">
        <f>IF(M18="Not Met","Needs compliance",IF(M18="Not Tested","Not yet tested",""))</f>
        <v/>
      </c>
      <c r="P18" s="166" t="n"/>
      <c r="T18" s="124" t="inlineStr">
        <is>
          <t>Sub</t>
        </is>
      </c>
      <c r="U18" s="124">
        <f>IF(M18="Not Met","("&amp;1&amp;") "&amp;IF(H18="Yes","★ ","")&amp;C18,"")</f>
        <v/>
      </c>
    </row>
    <row r="19" ht="29" customHeight="1" s="125">
      <c r="A19" s="193" t="inlineStr">
        <is>
          <t>L0-05.2</t>
        </is>
      </c>
      <c r="B19" s="194" t="inlineStr">
        <is>
          <t>↳ sub-item</t>
        </is>
      </c>
      <c r="C19" s="193" t="inlineStr">
        <is>
          <t>Integration (FHIR) developer attended the coordination meeting</t>
        </is>
      </c>
      <c r="D19" s="195" t="inlineStr">
        <is>
          <t>(part of L0-05)</t>
        </is>
      </c>
      <c r="E19" s="196" t="n"/>
      <c r="F19" s="196" t="n"/>
      <c r="G19" s="196" t="n"/>
      <c r="H19" s="196" t="n"/>
      <c r="I19" s="196" t="n"/>
      <c r="J19" s="196" t="n"/>
      <c r="K19" s="196" t="n"/>
      <c r="L19" s="196" t="n"/>
      <c r="M19" s="197" t="inlineStr">
        <is>
          <t>Not Tested</t>
        </is>
      </c>
      <c r="N19" s="196" t="n"/>
      <c r="O19" s="193">
        <f>IF(M19="Not Met","Needs compliance",IF(M19="Not Tested","Not yet tested",""))</f>
        <v/>
      </c>
      <c r="P19" s="166" t="n"/>
      <c r="T19" s="124" t="inlineStr">
        <is>
          <t>Sub</t>
        </is>
      </c>
      <c r="U19" s="124">
        <f>IF(M19="Not Met","("&amp;2&amp;") "&amp;IF(H19="Yes","★ ","")&amp;C19,"")</f>
        <v/>
      </c>
    </row>
    <row r="20" ht="29" customHeight="1" s="125">
      <c r="A20" s="193" t="inlineStr">
        <is>
          <t>L0-05.3</t>
        </is>
      </c>
      <c r="B20" s="194" t="inlineStr">
        <is>
          <t>↳ sub-item</t>
        </is>
      </c>
      <c r="C20" s="193" t="inlineStr">
        <is>
          <t>Data privacy contact attended the coordination meeting</t>
        </is>
      </c>
      <c r="D20" s="195" t="inlineStr">
        <is>
          <t>(part of L0-05)</t>
        </is>
      </c>
      <c r="E20" s="196" t="n"/>
      <c r="F20" s="196" t="n"/>
      <c r="G20" s="196" t="n"/>
      <c r="H20" s="196" t="n"/>
      <c r="I20" s="196" t="n"/>
      <c r="J20" s="196" t="n"/>
      <c r="K20" s="196" t="n"/>
      <c r="L20" s="196" t="n"/>
      <c r="M20" s="197" t="inlineStr">
        <is>
          <t>Not Tested</t>
        </is>
      </c>
      <c r="N20" s="196" t="n"/>
      <c r="O20" s="193">
        <f>IF(M20="Not Met","Needs compliance",IF(M20="Not Tested","Not yet tested",""))</f>
        <v/>
      </c>
      <c r="P20" s="166" t="n"/>
      <c r="T20" s="124" t="inlineStr">
        <is>
          <t>Sub</t>
        </is>
      </c>
      <c r="U20" s="124">
        <f>IF(M20="Not Met","("&amp;3&amp;") "&amp;IF(H20="Yes","★ ","")&amp;C20,"")</f>
        <v/>
      </c>
    </row>
    <row r="21" ht="98.5" customHeight="1" s="125">
      <c r="A21" s="172" t="inlineStr">
        <is>
          <t>L0-06</t>
        </is>
      </c>
      <c r="B21" s="172" t="inlineStr">
        <is>
          <t>Access</t>
        </is>
      </c>
      <c r="C21" s="172" t="inlineStr">
        <is>
          <t>Access to the test (sandbox) endpoint requested and granted</t>
        </is>
      </c>
      <c r="D21" s="172" t="inlineStr">
        <is>
          <t xml:space="preserve">Request sandbox (test endpoint) access from the Regional Validation Team and confirm a successful connection.
Purpose: The vendor can connect to the test servers.
</t>
        </is>
      </c>
      <c r="E21" s="172" t="inlineStr">
        <is>
          <t>Check the confirmation email / access log from the endpoint administrator.</t>
        </is>
      </c>
      <c r="F21" s="172" t="inlineStr">
        <is>
          <t>Access confirmation</t>
        </is>
      </c>
      <c r="G21" s="172" t="inlineStr">
        <is>
          <t>Validator</t>
        </is>
      </c>
      <c r="H21" s="188" t="inlineStr">
        <is>
          <t>No</t>
        </is>
      </c>
      <c r="I21" s="172" t="n">
        <v>1</v>
      </c>
      <c r="J21" s="172" t="inlineStr">
        <is>
          <t>Binary</t>
        </is>
      </c>
      <c r="K21" s="189" t="n"/>
      <c r="L21" s="189" t="n"/>
      <c r="M21" s="190" t="inlineStr">
        <is>
          <t>Not Tested</t>
        </is>
      </c>
      <c r="N21" s="191">
        <f>IF(M21="N/A",IF(H21="Yes",0,""),IF(M21="Not Tested",0,IF(J21="Tier",IF(M21="Fully integrated",1,IF(M21="Standalone - manual encoding",0.5,0)),IF(J21="Binary",IF(M21="Met",1,0),IF(M21="Counted",IF(N(K21)&gt;0,IF(J21="All-or-nothing",IF(N(L21)&gt;=K21,1,0),MIN(N(L21)/K21,1)),0),0)))))</f>
        <v/>
      </c>
      <c r="O21" s="172">
        <f>IF(M21="Not Met","Needs compliance",IF(M21="Not Tested","Not yet tested",""))</f>
        <v/>
      </c>
      <c r="P21" s="173" t="n"/>
      <c r="Q21" s="175">
        <f>IF(N21="",0,I21)</f>
        <v/>
      </c>
      <c r="R21" s="175">
        <f>IF(N21="",0,I21*N21)</f>
        <v/>
      </c>
      <c r="S21" s="175">
        <f>IF(AND(H21="Yes",M21&lt;&gt;"Not Tested",N21&lt;&gt;"",N21&lt;1),1,0)</f>
        <v/>
      </c>
      <c r="T21" s="175" t="inlineStr">
        <is>
          <t>Criterion</t>
        </is>
      </c>
      <c r="U21" s="175" t="n"/>
      <c r="V21" s="175" t="n"/>
      <c r="W21" s="175">
        <f>IF(AND(T21="Criterion",I21&gt;0,M21&lt;&gt;"Not Tested",N21&lt;&gt;"",OR(N(N21)&lt;1,S21=1)),A21,"")</f>
        <v/>
      </c>
    </row>
  </sheetData>
  <autoFilter ref="A9:P21"/>
  <mergeCells count="2">
    <mergeCell ref="A2:P2"/>
    <mergeCell ref="G4:L7"/>
  </mergeCells>
  <conditionalFormatting sqref="N10:N21">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21">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21">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0 M12 M13 M14 M15 M16 M18 M19 M20 M21"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unreleased draft · branch certificate-demo · commit e9c2d50 · built 2026-10-16 09:44 PHT</oddHeader>
    <oddFooter>&amp;C&amp;7 Page &amp;P of &amp;N</oddFooter>
    <evenHeader/>
    <evenFooter/>
    <firstHeader/>
    <firstFooter/>
  </headerFooter>
</worksheet>
</file>

<file path=xl/worksheets/sheet6.xml><?xml version="1.0" encoding="utf-8"?>
<worksheet xmlns="http://schemas.openxmlformats.org/spreadsheetml/2006/main">
  <sheetPr filterMode="0">
    <tabColor rgb="FF70AD47"/>
    <outlinePr summaryBelow="1" summaryRight="1"/>
    <pageSetUpPr fitToPage="1"/>
  </sheetPr>
  <dimension ref="A1:W27"/>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D10" activeCellId="0" sqref="D10"/>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1 — Product Documentation</t>
        </is>
      </c>
    </row>
    <row r="2" ht="48" customHeight="1" s="125">
      <c r="A2" s="174" t="inlineStr">
        <is>
          <t>Documentation of the EMR system itself. Facility-level legal, privacy, infrastructure and personnel requirements are outside the scope of this tool.</t>
        </is>
      </c>
    </row>
    <row r="3"/>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Summary!D8</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8"/>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12" customHeight="1" s="125">
      <c r="A10" s="172" t="inlineStr">
        <is>
          <t>L1-01</t>
        </is>
      </c>
      <c r="B10" s="172" t="inlineStr">
        <is>
          <t>Workflow</t>
        </is>
      </c>
      <c r="C10" s="172" t="inlineStr">
        <is>
          <t>Process flows of the eReferral module as implemented in the system, for ALL three: (a) referring, (b) receiving, (c) back-referral</t>
        </is>
      </c>
      <c r="D10" s="172" t="inlineStr">
        <is>
          <t xml:space="preserve">Submit process flow diagrams of the eReferral module for referring, receiving and back-referral, showing the actual system screens and steps.
Purpose: Shows how the system moves a referral step by step. All three are required (all-or-nothing, per DOH draft).
</t>
        </is>
      </c>
      <c r="E10" s="172" t="inlineStr">
        <is>
          <t>Check that diagrams exist for all three flows and show the system screens/steps. If any one is missing, mark Not Met.</t>
        </is>
      </c>
      <c r="F10" s="172" t="inlineStr">
        <is>
          <t>Process flow diagrams</t>
        </is>
      </c>
      <c r="G10" s="172" t="inlineStr">
        <is>
          <t>Validator</t>
        </is>
      </c>
      <c r="H10" s="172" t="inlineStr">
        <is>
          <t>No</t>
        </is>
      </c>
      <c r="I10" s="172" t="n">
        <v>3</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179.5" customHeight="1" s="125">
      <c r="A11" s="172" t="inlineStr">
        <is>
          <t>L1-02</t>
        </is>
      </c>
      <c r="B11" s="172" t="inlineStr">
        <is>
          <t>Manual</t>
        </is>
      </c>
      <c r="C11" s="172" t="inlineStr">
        <is>
          <t>User manual of the eReferral module contains ALL seven required sections (all-or-nothing): (1) system overview &amp; user roles, (2) referring workflow step-by-step, (3) receiving workflow step-by-step, (4) back-referral workflow, (5) downtime/offline behaviour, (6) troubleshooting &amp; error messages, (7) vendor support contacts &amp; escalation</t>
        </is>
      </c>
      <c r="D11" s="172" t="inlineStr">
        <is>
          <t xml:space="preserve">Submit the eReferral module user manual with a table of contents covering ALL 7 required sections, including how users check the server status and what the system does during downtime or offline operation. Titles, order and format (printed, PDF or online help) are the vendor's choice — only the content is checked.
Purpose: Checks the CONTENT of the manual once, at product level. All seven sections are required: a manual missing any one section scores 0% (all-or-nothing).
</t>
        </is>
      </c>
      <c r="E11" s="172" t="inlineStr">
        <is>
          <t xml:space="preserve">Check the table of contents and the body of the manual for each of the 7 sections. Mark each sub-item (↳) below so missing sections are listed.
All-or-nothing: the criterion scores 100% only if ALL 7 sub-items are Met; if any one is Not Met the score is 0%.
</t>
        </is>
      </c>
      <c r="F11" s="172" t="inlineStr">
        <is>
          <t>User manual</t>
        </is>
      </c>
      <c r="G11" s="172" t="inlineStr">
        <is>
          <t>Validator</t>
        </is>
      </c>
      <c r="H11" s="172" t="inlineStr">
        <is>
          <t>No</t>
        </is>
      </c>
      <c r="I11" s="172" t="n">
        <v>2</v>
      </c>
      <c r="J11" s="172" t="inlineStr">
        <is>
          <t>All-or-nothing</t>
        </is>
      </c>
      <c r="K11" s="189">
        <f>COUNTA(A12:A18)-COUNTIF(M12:M18,"N/A")</f>
        <v/>
      </c>
      <c r="L11" s="189">
        <f>COUNTIF(M12:M18,"Met")</f>
        <v/>
      </c>
      <c r="M11" s="190">
        <f>IF(COUNTIF(M12:M18,"N/A")=COUNTA(A12:A18),"N/A",IF(COUNTIF(M12:M18,"Not Tested")&gt;0,"Not Tested","Counted"))</f>
        <v/>
      </c>
      <c r="N11" s="191">
        <f>IF(M11="N/A",IF(H11="Yes",0,""),IF(M11="Not Tested",0,IF(J11="Tier",IF(M11="Fully integrated",1,IF(M11="Standalone - manual encoding",0.5,0)),IF(J11="Binary",IF(M11="Met",1,0),IF(M11="Counted",IF(N(K11)&gt;0,IF(J11="All-or-nothing",IF(N(L11)&gt;=K11,1,0),MIN(N(L11)/K11,1)),0),0)))))</f>
        <v/>
      </c>
      <c r="O11" s="172">
        <f>IF(COUNTIF(M12:M18,"Not Met")&gt;0,COUNTIF(M12:M18,"Not Met")&amp;" of "&amp;K11&amp;" need compliance: "&amp;_xlfn.TEXTJOIN("; ",TRUE(),U12:U18),IF(COUNTIF(M12:M18,"Not Tested")&gt;0,COUNTIF(M12:M18,"Not Tested")&amp;" of "&amp;COUNTA(A12:A18)&amp;" not yet tested",IF(M11="N/A","","All compliant")))</f>
        <v/>
      </c>
      <c r="P11" s="173" t="n"/>
      <c r="Q11" s="175">
        <f>IF(N11="",0,I11)</f>
        <v/>
      </c>
      <c r="R11" s="175">
        <f>IF(N11="",0,I11*N11)</f>
        <v/>
      </c>
      <c r="S11" s="175">
        <f>IF(OR(AND(H11="Yes",M11&lt;&gt;"Not Tested",N11&lt;&gt;"",N11&lt;1),COUNTIFS(H12:H18,"Yes",M12:M18,"Not Met")+COUNTIFS(H12:H18,"Yes",M12:M18,"N/A")&gt;0),1,0)</f>
        <v/>
      </c>
      <c r="T11" s="175" t="inlineStr">
        <is>
          <t>Criterion</t>
        </is>
      </c>
      <c r="U11" s="175" t="n"/>
      <c r="V11" s="175">
        <f>COUNTA(A12:A18)-COUNTIF(M12:M18,"Not Tested")</f>
        <v/>
      </c>
      <c r="W11" s="175">
        <f>IF(AND(T11="Criterion",I11&gt;0,M11&lt;&gt;"Not Tested",N11&lt;&gt;"",OR(N(N11)&lt;1,S11=1)),A11,"")</f>
        <v/>
      </c>
    </row>
    <row r="12" ht="15.5" customHeight="1" s="125">
      <c r="A12" s="193" t="inlineStr">
        <is>
          <t>L1-02.1</t>
        </is>
      </c>
      <c r="B12" s="194" t="inlineStr">
        <is>
          <t>↳ sub-item</t>
        </is>
      </c>
      <c r="C12" s="193" t="inlineStr">
        <is>
          <t>System overview &amp; user roles</t>
        </is>
      </c>
      <c r="D12" s="195" t="inlineStr">
        <is>
          <t>(part of L1-02)</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Met","("&amp;1&amp;") "&amp;IF(H12="Yes","★ ","")&amp;C12,"")</f>
        <v/>
      </c>
    </row>
    <row r="13" ht="15.5" customHeight="1" s="125">
      <c r="A13" s="193" t="inlineStr">
        <is>
          <t>L1-02.2</t>
        </is>
      </c>
      <c r="B13" s="194" t="inlineStr">
        <is>
          <t>↳ sub-item</t>
        </is>
      </c>
      <c r="C13" s="193" t="inlineStr">
        <is>
          <t>Referring workflow step-by-step</t>
        </is>
      </c>
      <c r="D13" s="195" t="inlineStr">
        <is>
          <t>(part of L1-02)</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Met","("&amp;2&amp;") "&amp;IF(H13="Yes","★ ","")&amp;C13,"")</f>
        <v/>
      </c>
    </row>
    <row r="14" ht="15.5" customHeight="1" s="125">
      <c r="A14" s="193" t="inlineStr">
        <is>
          <t>L1-02.3</t>
        </is>
      </c>
      <c r="B14" s="194" t="inlineStr">
        <is>
          <t>↳ sub-item</t>
        </is>
      </c>
      <c r="C14" s="193" t="inlineStr">
        <is>
          <t>Receiving workflow step-by-step</t>
        </is>
      </c>
      <c r="D14" s="195" t="inlineStr">
        <is>
          <t>(part of L1-02)</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Met","("&amp;3&amp;") "&amp;IF(H14="Yes","★ ","")&amp;C14,"")</f>
        <v/>
      </c>
    </row>
    <row r="15" ht="15.5" customHeight="1" s="125">
      <c r="A15" s="193" t="inlineStr">
        <is>
          <t>L1-02.4</t>
        </is>
      </c>
      <c r="B15" s="194" t="inlineStr">
        <is>
          <t>↳ sub-item</t>
        </is>
      </c>
      <c r="C15" s="193" t="inlineStr">
        <is>
          <t>Back-referral workflow</t>
        </is>
      </c>
      <c r="D15" s="195" t="inlineStr">
        <is>
          <t>(part of L1-02)</t>
        </is>
      </c>
      <c r="E15" s="196" t="n"/>
      <c r="F15" s="196" t="n"/>
      <c r="G15" s="196" t="n"/>
      <c r="H15" s="196" t="n"/>
      <c r="I15" s="196" t="n"/>
      <c r="J15" s="196" t="n"/>
      <c r="K15" s="196" t="n"/>
      <c r="L15" s="196" t="n"/>
      <c r="M15" s="197" t="inlineStr">
        <is>
          <t>Not Tested</t>
        </is>
      </c>
      <c r="N15" s="196" t="n"/>
      <c r="O15" s="193">
        <f>IF(M15="Not Met","Needs compliance",IF(M15="Not Tested","Not yet tested",""))</f>
        <v/>
      </c>
      <c r="P15" s="166" t="n"/>
      <c r="T15" s="124" t="inlineStr">
        <is>
          <t>Sub</t>
        </is>
      </c>
      <c r="U15" s="124">
        <f>IF(M15="Not Met","("&amp;4&amp;") "&amp;IF(H15="Yes","★ ","")&amp;C15,"")</f>
        <v/>
      </c>
    </row>
    <row r="16" ht="29" customHeight="1" s="125">
      <c r="A16" s="193" t="inlineStr">
        <is>
          <t>L1-02.5</t>
        </is>
      </c>
      <c r="B16" s="194" t="inlineStr">
        <is>
          <t>↳ sub-item</t>
        </is>
      </c>
      <c r="C16" s="193" t="inlineStr">
        <is>
          <t>Server status check &amp; downtime / offline behaviour</t>
        </is>
      </c>
      <c r="D16" s="195" t="inlineStr">
        <is>
          <t>(part of L1-02)</t>
        </is>
      </c>
      <c r="E16" s="196" t="n"/>
      <c r="F16" s="196" t="n"/>
      <c r="G16" s="196" t="n"/>
      <c r="H16" s="196" t="n"/>
      <c r="I16" s="196" t="n"/>
      <c r="J16" s="196" t="n"/>
      <c r="K16" s="196" t="n"/>
      <c r="L16" s="196" t="n"/>
      <c r="M16" s="197" t="inlineStr">
        <is>
          <t>Not Tested</t>
        </is>
      </c>
      <c r="N16" s="196" t="n"/>
      <c r="O16" s="193">
        <f>IF(M16="Not Met","Needs compliance",IF(M16="Not Tested","Not yet tested",""))</f>
        <v/>
      </c>
      <c r="P16" s="166" t="n"/>
      <c r="T16" s="124" t="inlineStr">
        <is>
          <t>Sub</t>
        </is>
      </c>
      <c r="U16" s="124">
        <f>IF(M16="Not Met","("&amp;5&amp;") "&amp;IF(H16="Yes","★ ","")&amp;C16,"")</f>
        <v/>
      </c>
    </row>
    <row r="17" ht="15.5" customHeight="1" s="125">
      <c r="A17" s="193" t="inlineStr">
        <is>
          <t>L1-02.6</t>
        </is>
      </c>
      <c r="B17" s="194" t="inlineStr">
        <is>
          <t>↳ sub-item</t>
        </is>
      </c>
      <c r="C17" s="193" t="inlineStr">
        <is>
          <t>Troubleshooting &amp; error messages</t>
        </is>
      </c>
      <c r="D17" s="195" t="inlineStr">
        <is>
          <t>(part of L1-02)</t>
        </is>
      </c>
      <c r="E17" s="196" t="n"/>
      <c r="F17" s="196" t="n"/>
      <c r="G17" s="196" t="n"/>
      <c r="H17" s="196" t="n"/>
      <c r="I17" s="196" t="n"/>
      <c r="J17" s="196" t="n"/>
      <c r="K17" s="196" t="n"/>
      <c r="L17" s="196" t="n"/>
      <c r="M17" s="197" t="inlineStr">
        <is>
          <t>Not Tested</t>
        </is>
      </c>
      <c r="N17" s="196" t="n"/>
      <c r="O17" s="193">
        <f>IF(M17="Not Met","Needs compliance",IF(M17="Not Tested","Not yet tested",""))</f>
        <v/>
      </c>
      <c r="P17" s="166" t="n"/>
      <c r="T17" s="124" t="inlineStr">
        <is>
          <t>Sub</t>
        </is>
      </c>
      <c r="U17" s="124">
        <f>IF(M17="Not Met","("&amp;6&amp;") "&amp;IF(H17="Yes","★ ","")&amp;C17,"")</f>
        <v/>
      </c>
    </row>
    <row r="18" ht="15.5" customHeight="1" s="125">
      <c r="A18" s="193" t="inlineStr">
        <is>
          <t>L1-02.7</t>
        </is>
      </c>
      <c r="B18" s="194" t="inlineStr">
        <is>
          <t>↳ sub-item</t>
        </is>
      </c>
      <c r="C18" s="193" t="inlineStr">
        <is>
          <t>Vendor support contacts &amp; escalation</t>
        </is>
      </c>
      <c r="D18" s="195" t="inlineStr">
        <is>
          <t>(part of L1-02)</t>
        </is>
      </c>
      <c r="E18" s="196" t="n"/>
      <c r="F18" s="196" t="n"/>
      <c r="G18" s="196" t="n"/>
      <c r="H18" s="196" t="n"/>
      <c r="I18" s="196" t="n"/>
      <c r="J18" s="196" t="n"/>
      <c r="K18" s="196" t="n"/>
      <c r="L18" s="196" t="n"/>
      <c r="M18" s="197" t="inlineStr">
        <is>
          <t>Not Tested</t>
        </is>
      </c>
      <c r="N18" s="196" t="n"/>
      <c r="O18" s="193">
        <f>IF(M18="Not Met","Needs compliance",IF(M18="Not Tested","Not yet tested",""))</f>
        <v/>
      </c>
      <c r="P18" s="166" t="n"/>
      <c r="T18" s="124" t="inlineStr">
        <is>
          <t>Sub</t>
        </is>
      </c>
      <c r="U18" s="124">
        <f>IF(M18="Not Met","("&amp;7&amp;") "&amp;IF(H18="Yes","★ ","")&amp;C18,"")</f>
        <v/>
      </c>
    </row>
    <row r="19" ht="112" customHeight="1" s="125">
      <c r="A19" s="172" t="inlineStr">
        <is>
          <t>L1-03</t>
        </is>
      </c>
      <c r="B19" s="172" t="inlineStr">
        <is>
          <t>Interfaces</t>
        </is>
      </c>
      <c r="C19" s="172" t="inlineStr">
        <is>
          <t>Supported FHIR interactions documented per resource (which resources are created, read, updated, searched), e.g. a CapabilityStatement (Connectathon Issue #3)</t>
        </is>
      </c>
      <c r="D19" s="172" t="inlineStr">
        <is>
          <t xml:space="preserve">Submit a CapabilityStatement (or equivalent) listing each FHIR resource used, its supported interactions (POST, PUT, GET, search) and search parameters.
Purpose: Removes ambiguity about what the system actually sends and receives.
</t>
        </is>
      </c>
      <c r="E19" s="172" t="inlineStr">
        <is>
          <t>Check the document lists each resource used in TS1/TS2 with its interactions (POST/PUT/GET/search).</t>
        </is>
      </c>
      <c r="F19" s="172" t="inlineStr">
        <is>
          <t>CapabilityStatement or equivalent document</t>
        </is>
      </c>
      <c r="G19" s="172" t="inlineStr">
        <is>
          <t>Validator (server-side check)</t>
        </is>
      </c>
      <c r="H19" s="172" t="inlineStr">
        <is>
          <t>Yes</t>
        </is>
      </c>
      <c r="I19" s="172" t="n">
        <v>2</v>
      </c>
      <c r="J19" s="172" t="inlineStr">
        <is>
          <t>Binary</t>
        </is>
      </c>
      <c r="K19" s="189" t="n"/>
      <c r="L19" s="189" t="n"/>
      <c r="M19" s="190" t="inlineStr">
        <is>
          <t>Not Tested</t>
        </is>
      </c>
      <c r="N19" s="191">
        <f>IF(M19="N/A",IF(H19="Yes",0,""),IF(M19="Not Tested",0,IF(J19="Tier",IF(M19="Fully integrated",1,IF(M19="Standalone - manual encoding",0.5,0)),IF(J19="Binary",IF(M19="Met",1,0),IF(M19="Counted",IF(N(K19)&gt;0,IF(J19="All-or-nothing",IF(N(L19)&gt;=K19,1,0),MIN(N(L19)/K19,1)),0),0)))))</f>
        <v/>
      </c>
      <c r="O19" s="172">
        <f>IF(M19="Not Met","Needs compliance",IF(M19="Not Tested","Not yet tested",""))</f>
        <v/>
      </c>
      <c r="P19" s="173" t="n"/>
      <c r="Q19" s="175">
        <f>IF(N19="",0,I19)</f>
        <v/>
      </c>
      <c r="R19" s="175">
        <f>IF(N19="",0,I19*N19)</f>
        <v/>
      </c>
      <c r="S19" s="175">
        <f>IF(AND(H19="Yes",M19&lt;&gt;"Not Tested",N19&lt;&gt;"",N19&lt;1),1,0)</f>
        <v/>
      </c>
      <c r="T19" s="175" t="inlineStr">
        <is>
          <t>Criterion</t>
        </is>
      </c>
      <c r="U19" s="175" t="n"/>
      <c r="V19" s="175" t="n"/>
      <c r="W19" s="175">
        <f>IF(AND(T19="Criterion",I19&gt;0,M19&lt;&gt;"Not Tested",N19&lt;&gt;"",OR(N(N19)&lt;1,S19=1)),A19,"")</f>
        <v/>
      </c>
    </row>
    <row r="20" ht="409" customHeight="1" s="125">
      <c r="A20" s="172" t="inlineStr">
        <is>
          <t>L1-04</t>
        </is>
      </c>
      <c r="B20" s="172" t="inlineStr">
        <is>
          <t>Architecture</t>
        </is>
      </c>
      <c r="C20" s="172" t="inlineStr">
        <is>
          <t xml:space="preserve">System architecture — integration of the eReferral function with the EMR, judged by how patient details reach the referral (not by how the system is built):
(a) Fully integrated = 100% — the eReferral function is part of the EMR, OR it is a standalone system integrated with the EMR whose only role is to perform the referral and which receives the patient details automatically;
(b) Standalone - manual encoding = 50% — the standalone system still requires manual intervention to encode patient details (re-typing, copy-paste or re-upload).
</t>
        </is>
      </c>
      <c r="D20" s="172" t="inlineStr">
        <is>
          <t xml:space="preserve">Submit a system architecture diagram showing the EMR, the eReferral function (built-in or a separate system) and how patient details flow from the EMR record into the referral. A high-level diagram is sufficient — internal component, network or infrastructure details are not required. Any integration method is acceptable (shared database, API, FHIR, HL7 v2, other interface).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
Purpose: What matters is that patient details recorded once in the EMR are reused without manual re-encoding. Whether the eReferral function is built into the EMR or is a separate system is the vendor's design choice and is not penalised.
</t>
        </is>
      </c>
      <c r="E20" s="172" t="inlineStr">
        <is>
          <t xml:space="preserve">1. Review the architecture diagram.
2. Demonstration: register the Test Data patient in the EMR, then start a referral.
3. Fully integrated: every patient detail already in the EMR (name, birth date, sex, PhilSys number, PhilHealth ID, address, contact number) appears in the referral without the user re-typing, copy-pasting or re-uploading it — whether the eReferral function is built into the EMR or is a separate system connected to it.
4. Standalone - manual encoding: any of these details must be encoded manually.
5. Not Met: no diagram or no demonstration.
</t>
        </is>
      </c>
      <c r="F20" s="172" t="inlineStr">
        <is>
          <t>System architecture diagram (high-level is sufficient) + demonstration</t>
        </is>
      </c>
      <c r="G20" s="172" t="inlineStr">
        <is>
          <t>Validator + server-side check + Observer</t>
        </is>
      </c>
      <c r="H20" s="172" t="inlineStr">
        <is>
          <t>No</t>
        </is>
      </c>
      <c r="I20" s="172" t="n">
        <v>2</v>
      </c>
      <c r="J20" s="172" t="inlineStr">
        <is>
          <t>Tier</t>
        </is>
      </c>
      <c r="K20" s="189" t="n"/>
      <c r="L20" s="189" t="n"/>
      <c r="M20" s="190" t="inlineStr">
        <is>
          <t>Not Tested</t>
        </is>
      </c>
      <c r="N20" s="191">
        <f>IF(M20="N/A",IF(H20="Yes",0,""),IF(M20="Not Tested",0,IF(J20="Tier",IF(M20="Fully integrated",1,IF(M20="Standalone - manual encoding",0.5,0)),IF(J20="Binary",IF(M20="Met",1,0),IF(M20="Counted",IF(N(K20)&gt;0,IF(J20="All-or-nothing",IF(N(L20)&gt;=K20,1,0),MIN(N(L20)/K20,1)),0),0)))))</f>
        <v/>
      </c>
      <c r="O20" s="172">
        <f>IF(M20="Not Met","Needs compliance",IF(M20="Not Tested","Not yet tested",IF(N20&lt;1,"Integration level: "&amp;M20,"")))</f>
        <v/>
      </c>
      <c r="P20" s="173" t="n"/>
      <c r="Q20" s="175">
        <f>IF(N20="",0,I20)</f>
        <v/>
      </c>
      <c r="R20" s="175">
        <f>IF(N20="",0,I20*N20)</f>
        <v/>
      </c>
      <c r="S20" s="175">
        <f>IF(AND(H20="Yes",M20&lt;&gt;"Not Tested",N20&lt;&gt;"",N20&lt;1),1,0)</f>
        <v/>
      </c>
      <c r="T20" s="175" t="inlineStr">
        <is>
          <t>Criterion</t>
        </is>
      </c>
      <c r="U20" s="175" t="n"/>
      <c r="V20" s="175" t="n"/>
      <c r="W20" s="175">
        <f>IF(AND(T20="Criterion",I20&gt;0,M20&lt;&gt;"Not Tested",N20&lt;&gt;"",OR(N(N20)&lt;1,S20=1)),A20,"")</f>
        <v/>
      </c>
    </row>
    <row r="21" ht="409" customHeight="1" s="125">
      <c r="A21" s="172" t="inlineStr">
        <is>
          <t>L1-05</t>
        </is>
      </c>
      <c r="B21" s="172" t="inlineStr">
        <is>
          <t>Security design</t>
        </is>
      </c>
      <c r="C21" s="172" t="inlineStr">
        <is>
          <t>Product security and privacy design documented and stated against the Technical Baseline and NPC Circular 2023-06: (1) authentication &amp; role-based access, (2) audit logging, (3) encryption in transit and at rest, (4) backup &amp; recovery of data held only in the system (user accounts / credentials, audit trail, configuration), (5) privacy-by-design / privacy-by-default features — data minimisation, retention and secure disposal</t>
        </is>
      </c>
      <c r="D21" s="172" t="inlineStr">
        <is>
          <t xml:space="preserve">Submit security and privacy design documentation covering the five topics. For each topic, state the mechanism used and confirm it meets or exceeds the Technical Baseline (Reference Guide, Ch. 3) (TB-01 to TB-11). Any product, platform or method is acceptable if it meets the baseline. If an equivalent control is used instead, attach a short justification with evidence (Instructions 4A).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
Purpose: Describes the security features the system provides, in measurable terms. Referral data exchanged is kept on the Shared Health Record; the backup covers data that exists only in the system. Topic 5 also gives facilities (the personal information controllers) what they need for their own Privacy Impact Assessment under NPC Circular 2023-06 §5 and §7.
</t>
        </is>
      </c>
      <c r="E21" s="172" t="inlineStr">
        <is>
          <t xml:space="preserve">Count the five topics. A topic is Met if compliance is shown by ANY accepted evidence option (full or redacted document with signed attestation, independent certification, or view-only presentation recorded as sighted) AND it is mapped to the referenced TB items (or an equivalent control was accepted by the Technical Lead). Record the evidence option used in Notes. Level 2D tests that the controls work.
Mark each sub-item (↳) below; Achieved is counted automatically.
</t>
        </is>
      </c>
      <c r="F21" s="172" t="inlineStr">
        <is>
          <t>Security design document, OR redacted summary + signed attestation, OR independent certification, OR view-only presentation</t>
        </is>
      </c>
      <c r="G21" s="172" t="inlineStr">
        <is>
          <t>Validator + server-side check + Observer</t>
        </is>
      </c>
      <c r="H21" s="172" t="inlineStr">
        <is>
          <t>No</t>
        </is>
      </c>
      <c r="I21" s="172" t="n">
        <v>1</v>
      </c>
      <c r="J21" s="172" t="inlineStr">
        <is>
          <t>Count</t>
        </is>
      </c>
      <c r="K21" s="189">
        <f>COUNTA(A22:A26)-COUNTIF(M22:M26,"N/A")</f>
        <v/>
      </c>
      <c r="L21" s="189">
        <f>COUNTIF(M22:M26,"Met")</f>
        <v/>
      </c>
      <c r="M21" s="190">
        <f>IF(COUNTIF(M22:M26,"N/A")=COUNTA(A22:A26),"N/A",IF(COUNTIF(M22:M26,"Not Tested")&gt;0,"Not Tested","Counted"))</f>
        <v/>
      </c>
      <c r="N21" s="191">
        <f>IF(M21="N/A",IF(H21="Yes",0,""),IF(M21="Not Tested",0,IF(J21="Tier",IF(M21="Fully integrated",1,IF(M21="Standalone - manual encoding",0.5,0)),IF(J21="Binary",IF(M21="Met",1,0),IF(M21="Counted",IF(N(K21)&gt;0,IF(J21="All-or-nothing",IF(N(L21)&gt;=K21,1,0),MIN(N(L21)/K21,1)),0),0)))))</f>
        <v/>
      </c>
      <c r="O21" s="172">
        <f>IF(COUNTIF(M22:M26,"Not Met")&gt;0,COUNTIF(M22:M26,"Not Met")&amp;" of "&amp;K21&amp;" need compliance: "&amp;_xlfn.TEXTJOIN("; ",TRUE(),U22:U26),IF(COUNTIF(M22:M26,"Not Tested")&gt;0,COUNTIF(M22:M26,"Not Tested")&amp;" of "&amp;COUNTA(A22:A26)&amp;" not yet tested",IF(M21="N/A","","All compliant")))</f>
        <v/>
      </c>
      <c r="P21" s="173" t="n"/>
      <c r="Q21" s="175">
        <f>IF(N21="",0,I21)</f>
        <v/>
      </c>
      <c r="R21" s="175">
        <f>IF(N21="",0,I21*N21)</f>
        <v/>
      </c>
      <c r="S21" s="175">
        <f>IF(OR(AND(H21="Yes",M21&lt;&gt;"Not Tested",N21&lt;&gt;"",N21&lt;1),COUNTIFS(H22:H26,"Yes",M22:M26,"Not Met")+COUNTIFS(H22:H26,"Yes",M22:M26,"N/A")&gt;0),1,0)</f>
        <v/>
      </c>
      <c r="T21" s="175" t="inlineStr">
        <is>
          <t>Criterion</t>
        </is>
      </c>
      <c r="U21" s="175" t="n"/>
      <c r="V21" s="175">
        <f>COUNTA(A22:A26)-COUNTIF(M22:M26,"Not Tested")</f>
        <v/>
      </c>
      <c r="W21" s="175">
        <f>IF(AND(T21="Criterion",I21&gt;0,M21&lt;&gt;"Not Tested",N21&lt;&gt;"",OR(N(N21)&lt;1,S21=1)),A21,"")</f>
        <v/>
      </c>
    </row>
    <row r="22" ht="29" customHeight="1" s="125">
      <c r="A22" s="193" t="inlineStr">
        <is>
          <t>L1-05.1</t>
        </is>
      </c>
      <c r="B22" s="194" t="inlineStr">
        <is>
          <t>↳ sub-item</t>
        </is>
      </c>
      <c r="C22" s="193" t="inlineStr">
        <is>
          <t>Authentication &amp; role-based access (TB-05, TB-06, TB-07)</t>
        </is>
      </c>
      <c r="D22" s="195" t="inlineStr">
        <is>
          <t>(part of L1-05)</t>
        </is>
      </c>
      <c r="E22" s="196" t="n"/>
      <c r="F22" s="196" t="n"/>
      <c r="G22" s="196" t="n"/>
      <c r="H22" s="196" t="n"/>
      <c r="I22" s="196" t="n"/>
      <c r="J22" s="196" t="n"/>
      <c r="K22" s="196" t="n"/>
      <c r="L22" s="196" t="n"/>
      <c r="M22" s="197" t="inlineStr">
        <is>
          <t>Not Tested</t>
        </is>
      </c>
      <c r="N22" s="196" t="n"/>
      <c r="O22" s="193">
        <f>IF(M22="Not Met","Needs compliance",IF(M22="Not Tested","Not yet tested",""))</f>
        <v/>
      </c>
      <c r="P22" s="166" t="n"/>
      <c r="T22" s="124" t="inlineStr">
        <is>
          <t>Sub</t>
        </is>
      </c>
      <c r="U22" s="124">
        <f>IF(M22="Not Met","("&amp;1&amp;") "&amp;IF(H22="Yes","★ ","")&amp;C22,"")</f>
        <v/>
      </c>
    </row>
    <row r="23" ht="15.5" customHeight="1" s="125">
      <c r="A23" s="193" t="inlineStr">
        <is>
          <t>L1-05.2</t>
        </is>
      </c>
      <c r="B23" s="194" t="inlineStr">
        <is>
          <t>↳ sub-item</t>
        </is>
      </c>
      <c r="C23" s="193" t="inlineStr">
        <is>
          <t>Audit logging (TB-08)</t>
        </is>
      </c>
      <c r="D23" s="195" t="inlineStr">
        <is>
          <t>(part of L1-05)</t>
        </is>
      </c>
      <c r="E23" s="196" t="n"/>
      <c r="F23" s="196" t="n"/>
      <c r="G23" s="196" t="n"/>
      <c r="H23" s="196" t="n"/>
      <c r="I23" s="196" t="n"/>
      <c r="J23" s="196" t="n"/>
      <c r="K23" s="196" t="n"/>
      <c r="L23" s="196" t="n"/>
      <c r="M23" s="197" t="inlineStr">
        <is>
          <t>Not Tested</t>
        </is>
      </c>
      <c r="N23" s="196" t="n"/>
      <c r="O23" s="193">
        <f>IF(M23="Not Met","Needs compliance",IF(M23="Not Tested","Not yet tested",""))</f>
        <v/>
      </c>
      <c r="P23" s="166" t="n"/>
      <c r="T23" s="124" t="inlineStr">
        <is>
          <t>Sub</t>
        </is>
      </c>
      <c r="U23" s="124">
        <f>IF(M23="Not Met","("&amp;2&amp;") "&amp;IF(H23="Yes","★ ","")&amp;C23,"")</f>
        <v/>
      </c>
    </row>
    <row r="24" ht="29" customHeight="1" s="125">
      <c r="A24" s="193" t="inlineStr">
        <is>
          <t>L1-05.3</t>
        </is>
      </c>
      <c r="B24" s="194" t="inlineStr">
        <is>
          <t>↳ sub-item</t>
        </is>
      </c>
      <c r="C24" s="193" t="inlineStr">
        <is>
          <t>Encryption in transit and at rest, password storage (TB-01 to TB-04)</t>
        </is>
      </c>
      <c r="D24" s="195" t="inlineStr">
        <is>
          <t>(part of L1-05)</t>
        </is>
      </c>
      <c r="E24" s="196" t="n"/>
      <c r="F24" s="196" t="n"/>
      <c r="G24" s="196" t="n"/>
      <c r="H24" s="196" t="n"/>
      <c r="I24" s="196" t="n"/>
      <c r="J24" s="196" t="n"/>
      <c r="K24" s="196" t="n"/>
      <c r="L24" s="196" t="n"/>
      <c r="M24" s="197" t="inlineStr">
        <is>
          <t>Not Tested</t>
        </is>
      </c>
      <c r="N24" s="196" t="n"/>
      <c r="O24" s="193">
        <f>IF(M24="Not Met","Needs compliance",IF(M24="Not Tested","Not yet tested",""))</f>
        <v/>
      </c>
      <c r="P24" s="166" t="n"/>
      <c r="T24" s="124" t="inlineStr">
        <is>
          <t>Sub</t>
        </is>
      </c>
      <c r="U24" s="124">
        <f>IF(M24="Not Met","("&amp;3&amp;") "&amp;IF(H24="Yes","★ ","")&amp;C24,"")</f>
        <v/>
      </c>
    </row>
    <row r="25" ht="42.5" customHeight="1" s="125">
      <c r="A25" s="193" t="inlineStr">
        <is>
          <t>L1-05.4</t>
        </is>
      </c>
      <c r="B25" s="194" t="inlineStr">
        <is>
          <t>↳ sub-item</t>
        </is>
      </c>
      <c r="C25" s="193" t="inlineStr">
        <is>
          <t>Backup &amp; recovery of data held only in the system — user accounts / credentials, audit trail, configuration (TB-09)</t>
        </is>
      </c>
      <c r="D25" s="195" t="inlineStr">
        <is>
          <t>(part of L1-05)</t>
        </is>
      </c>
      <c r="E25" s="196" t="n"/>
      <c r="F25" s="196" t="n"/>
      <c r="G25" s="196" t="n"/>
      <c r="H25" s="196" t="n"/>
      <c r="I25" s="196" t="n"/>
      <c r="J25" s="196" t="n"/>
      <c r="K25" s="196" t="n"/>
      <c r="L25" s="196" t="n"/>
      <c r="M25" s="197" t="inlineStr">
        <is>
          <t>Not Tested</t>
        </is>
      </c>
      <c r="N25" s="196" t="n"/>
      <c r="O25" s="193">
        <f>IF(M25="Not Met","Needs compliance",IF(M25="Not Tested","Not yet tested",""))</f>
        <v/>
      </c>
      <c r="P25" s="166" t="n"/>
      <c r="T25" s="124" t="inlineStr">
        <is>
          <t>Sub</t>
        </is>
      </c>
      <c r="U25" s="124">
        <f>IF(M25="Not Met","("&amp;4&amp;") "&amp;IF(H25="Yes","★ ","")&amp;C25,"")</f>
        <v/>
      </c>
    </row>
    <row r="26" ht="56" customHeight="1" s="125">
      <c r="A26" s="193" t="inlineStr">
        <is>
          <t>L1-05.5</t>
        </is>
      </c>
      <c r="B26" s="194" t="inlineStr">
        <is>
          <t>↳ sub-item</t>
        </is>
      </c>
      <c r="C26" s="193" t="inlineStr">
        <is>
          <t>Privacy-by-design / privacy-by-default — data minimisation, retention and secure disposal (TB-11; NPC Circular 2023-06 §7–9, §28–30)</t>
        </is>
      </c>
      <c r="D26" s="195" t="inlineStr">
        <is>
          <t>(part of L1-05)</t>
        </is>
      </c>
      <c r="E26" s="196" t="n"/>
      <c r="F26" s="196" t="n"/>
      <c r="G26" s="196" t="n"/>
      <c r="H26" s="196" t="n"/>
      <c r="I26" s="196" t="n"/>
      <c r="J26" s="196" t="n"/>
      <c r="K26" s="196" t="n"/>
      <c r="L26" s="196" t="n"/>
      <c r="M26" s="197" t="inlineStr">
        <is>
          <t>Not Tested</t>
        </is>
      </c>
      <c r="N26" s="196" t="n"/>
      <c r="O26" s="193">
        <f>IF(M26="Not Met","Needs compliance",IF(M26="Not Tested","Not yet tested",""))</f>
        <v/>
      </c>
      <c r="P26" s="166" t="n"/>
      <c r="T26" s="124" t="inlineStr">
        <is>
          <t>Sub</t>
        </is>
      </c>
      <c r="U26" s="124">
        <f>IF(M26="Not Met","("&amp;5&amp;") "&amp;IF(H26="Yes","★ ","")&amp;C26,"")</f>
        <v/>
      </c>
    </row>
    <row r="27" ht="98.5" customHeight="1" s="125">
      <c r="A27" s="172" t="inlineStr">
        <is>
          <t>L1-06</t>
        </is>
      </c>
      <c r="B27" s="172" t="inlineStr">
        <is>
          <t>Release management</t>
        </is>
      </c>
      <c r="C27" s="172" t="inlineStr">
        <is>
          <t>Version/change management: release notes for the version under test and a committed timeline for updating to new IG versions</t>
        </is>
      </c>
      <c r="D27" s="172" t="inlineStr">
        <is>
          <t xml:space="preserve">Submit release notes for the version under test and a written timeline for adopting new PH Core / PHeReF IG versions.
Purpose: Updates to the draft IGs will be applied in a controlled, traceable way.
</t>
        </is>
      </c>
      <c r="E27" s="172" t="inlineStr">
        <is>
          <t>Check release notes for the version under test and the written update timeline.</t>
        </is>
      </c>
      <c r="F27" s="172" t="inlineStr">
        <is>
          <t>Release notes + update commitment</t>
        </is>
      </c>
      <c r="G27" s="172" t="inlineStr">
        <is>
          <t>Validator (server-side check)</t>
        </is>
      </c>
      <c r="H27" s="172" t="inlineStr">
        <is>
          <t>No</t>
        </is>
      </c>
      <c r="I27" s="172" t="n">
        <v>1</v>
      </c>
      <c r="J27" s="172" t="inlineStr">
        <is>
          <t>Binary</t>
        </is>
      </c>
      <c r="K27" s="189" t="n"/>
      <c r="L27" s="189" t="n"/>
      <c r="M27" s="190" t="inlineStr">
        <is>
          <t>Not Tested</t>
        </is>
      </c>
      <c r="N27" s="191">
        <f>IF(M27="N/A",IF(H27="Yes",0,""),IF(M27="Not Tested",0,IF(J27="Tier",IF(M27="Fully integrated",1,IF(M27="Standalone - manual encoding",0.5,0)),IF(J27="Binary",IF(M27="Met",1,0),IF(M27="Counted",IF(N(K27)&gt;0,IF(J27="All-or-nothing",IF(N(L27)&gt;=K27,1,0),MIN(N(L27)/K27,1)),0),0)))))</f>
        <v/>
      </c>
      <c r="O27" s="172">
        <f>IF(M27="Not Met","Needs compliance",IF(M27="Not Tested","Not yet tested",""))</f>
        <v/>
      </c>
      <c r="P27" s="173" t="n"/>
      <c r="Q27" s="175">
        <f>IF(N27="",0,I27)</f>
        <v/>
      </c>
      <c r="R27" s="175">
        <f>IF(N27="",0,I27*N27)</f>
        <v/>
      </c>
      <c r="S27" s="175">
        <f>IF(AND(H27="Yes",M27&lt;&gt;"Not Tested",N27&lt;&gt;"",N27&lt;1),1,0)</f>
        <v/>
      </c>
      <c r="T27" s="175" t="inlineStr">
        <is>
          <t>Criterion</t>
        </is>
      </c>
      <c r="U27" s="175" t="n"/>
      <c r="V27" s="175" t="n"/>
      <c r="W27" s="175">
        <f>IF(AND(T27="Criterion",I27&gt;0,M27&lt;&gt;"Not Tested",N27&lt;&gt;"",OR(N(N27)&lt;1,S27=1)),A27,"")</f>
        <v/>
      </c>
    </row>
  </sheetData>
  <autoFilter ref="A9:P27"/>
  <mergeCells count="2">
    <mergeCell ref="A2:P2"/>
    <mergeCell ref="G4:L7"/>
  </mergeCells>
  <conditionalFormatting sqref="N10:N27">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27">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27">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2">
    <dataValidation sqref="M10 M12 M13 M14 M15 M16 M17 M18 M19 M22 M23 M24 M25 M26 M27" showDropDown="0" showInputMessage="0" showErrorMessage="0" allowBlank="1" type="list" errorStyle="stop">
      <formula1>"Met,Not Met,Not Tested,N/A"</formula1>
    </dataValidation>
    <dataValidation sqref="M20" showDropDown="0" showInputMessage="0" showErrorMessage="0" allowBlank="1" type="list" errorStyle="stop">
      <formula1>"Fully integrated,Standalone - manual encoding,Not Met,Not Tested"</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unreleased draft · branch certificate-demo · commit e9c2d50 · built 2026-10-16 09:44 PHT</oddHeader>
    <oddFooter>&amp;C&amp;7 Page &amp;P of &amp;N</oddFooter>
    <evenHeader/>
    <evenFooter/>
    <firstHeader/>
    <firstFooter/>
  </headerFooter>
</worksheet>
</file>

<file path=xl/worksheets/sheet7.xml><?xml version="1.0" encoding="utf-8"?>
<worksheet xmlns="http://schemas.openxmlformats.org/spreadsheetml/2006/main">
  <sheetPr filterMode="0">
    <tabColor rgb="FF2E75B6"/>
    <outlinePr summaryBelow="1" summaryRight="1"/>
    <pageSetUpPr fitToPage="1"/>
  </sheetPr>
  <dimension ref="A1:W37"/>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2A — TS0 Terminology &amp; Registry Validation (GATE)</t>
        </is>
      </c>
    </row>
    <row r="2" ht="54" customHeight="1" s="125">
      <c r="A2" s="174" t="inlineStr">
        <is>
          <t>Before submitting (TS1) or reading (TS2) an eReferral, every coded element must use the official terminology and every registry value or patient identifier must follow the official registry — the exact server, registry or API for each concept is named in the Terminology &amp; Registry Sources (Reference Guide, Ch. 4) (SRC-01 to SRC-15). CRITICAL (must be 100%): the IG-required bindings (TS0-01, TS0-02), invalid-code handling (TS0-03), PSGC and NHFR (★ in TS0-06) and the PhilHealth / PhilSys identifiers (TS0-07) — TS1, TS2 and Level 3 cannot work without them. Other items (display text, code-system validity, NHWR, DSWD) carry normal weight but are not critical. How values are obtained (live look-up, scheduled sync or cached copy) is the vendor's choice. Test this part FIRST.</t>
        </is>
      </c>
    </row>
    <row r="3"/>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Summary!D10</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8"/>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79.5" customHeight="1" s="125">
      <c r="A10" s="172" t="inlineStr">
        <is>
          <t>TS0-01</t>
        </is>
      </c>
      <c r="B10" s="172" t="inlineStr">
        <is>
          <t>PH Core</t>
        </is>
      </c>
      <c r="C10" s="172" t="inlineStr">
        <is>
          <t>PH Core coded elements: values match the official PH Core / base FHIR value sets (required bindings — not locally invented)</t>
        </is>
      </c>
      <c r="D10" s="172" t="inlineStr">
        <is>
          <t xml:space="preserve">Use the PH Core / base FHIR value sets for each coded field listed (sex, contact point) — source SRC-05. Use the source named in the Terminology &amp; Registry Sources (Reference Guide, Ch. 4) — for coded values, the DOH HIE terminology server (runtime look-up, scheduled sync or cached copy: vendor's choice).
Purpose: These bindings are REQUIRED in the IG; a wrong code makes the whole referral fail validation (TS1-T.02), so this is critical.
</t>
        </is>
      </c>
      <c r="E10" s="172" t="inlineStr">
        <is>
          <t xml:space="preserve">1. Check that the system's configured terminology endpoint is the DOH HIE terminology server (Terminology &amp; Registry Sources — Reference Guide, Ch. 4).
2. Open each field / dropdown listed as a sub-item and compare the options with the value set on the server ($expand), or check the submitted code ($validate-code).
3. A sub-item is Met only if every option / submitted code belongs to the bound value set.
Mark each sub-item (↳) below; Achieved is counted automatically. ★ = critical sub-item: if it is Not Met (or N/A) the criterion counts as a critical failure.
</t>
        </is>
      </c>
      <c r="F10" s="172" t="inlineStr">
        <is>
          <t>Screenshot of each dropdown + server response ($expand / $validate-code)</t>
        </is>
      </c>
      <c r="G10" s="172" t="inlineStr">
        <is>
          <t>Validator + server-side check + Observer</t>
        </is>
      </c>
      <c r="H10" s="188" t="inlineStr">
        <is>
          <t>Yes</t>
        </is>
      </c>
      <c r="I10" s="172" t="n">
        <v>2</v>
      </c>
      <c r="J10" s="172" t="inlineStr">
        <is>
          <t>Count</t>
        </is>
      </c>
      <c r="K10" s="192">
        <f>COUNTA(A11:A14)-COUNTIF(M11:M14,"N/A")</f>
        <v/>
      </c>
      <c r="L10" s="192">
        <f>COUNTIF(M11:M14,"Met")</f>
        <v/>
      </c>
      <c r="M10" s="192">
        <f>IF(COUNTIF(M11:M14,"N/A")=COUNTA(A11:A14),"N/A",IF(COUNTIF(M11:M14,"Not Tested")&gt;0,"Not Tested","Counted"))</f>
        <v/>
      </c>
      <c r="N10" s="191">
        <f>IF(M10="N/A",IF(H10="Yes",0,""),IF(M10="Not Tested",0,IF(J10="Tier",IF(M10="Fully integrated",1,IF(M10="Standalone - manual encoding",0.5,0)),IF(J10="Binary",IF(M10="Met",1,0),IF(M10="Counted",IF(N(K10)&gt;0,IF(J10="All-or-nothing",IF(N(L10)&gt;=K10,1,0),MIN(N(L10)/K10,1)),0),0)))))</f>
        <v/>
      </c>
      <c r="O10" s="172">
        <f>IF(COUNTIF(M11:M14,"Not Met")&gt;0,COUNTIF(M11:M14,"Not Met")&amp;" of "&amp;K10&amp;" need compliance: "&amp;_xlfn.TEXTJOIN("; ",TRUE(),U11:U14),IF(COUNTIF(M11:M14,"Not Tested")&gt;0,COUNTIF(M11:M14,"Not Tested")&amp;" of "&amp;COUNTA(A11:A14)&amp;" not yet tested",IF(M10="N/A","","All compliant")))</f>
        <v/>
      </c>
      <c r="P10" s="173" t="n"/>
      <c r="Q10" s="175">
        <f>IF(N10="",0,I10)</f>
        <v/>
      </c>
      <c r="R10" s="175">
        <f>IF(N10="",0,I10*N10)</f>
        <v/>
      </c>
      <c r="S10" s="175">
        <f>IF(OR(AND(H10="Yes",M10&lt;&gt;"Not Tested",N10&lt;&gt;"",N10&lt;1),COUNTIFS(H11:H14,"Yes",M11:M14,"Not Met")+COUNTIFS(H11:H14,"Yes",M11:M14,"N/A")&gt;0),1,0)</f>
        <v/>
      </c>
      <c r="T10" s="175" t="inlineStr">
        <is>
          <t>Criterion</t>
        </is>
      </c>
      <c r="U10" s="175" t="n"/>
      <c r="V10" s="175">
        <f>COUNTA(A11:A14)-COUNTIF(M11:M14,"Not Tested")</f>
        <v/>
      </c>
      <c r="W10" s="175">
        <f>IF(AND(T10="Criterion",I10&gt;0,M10&lt;&gt;"Not Tested",N10&lt;&gt;"",OR(N(N10)&lt;1,S10=1)),A10,"")</f>
        <v/>
      </c>
    </row>
    <row r="11" ht="29" customHeight="1" s="125">
      <c r="A11" s="193" t="inlineStr">
        <is>
          <t>TS0-01.1</t>
        </is>
      </c>
      <c r="B11" s="194" t="inlineStr">
        <is>
          <t>↳ sub-item</t>
        </is>
      </c>
      <c r="C11" s="193" t="inlineStr">
        <is>
          <t>Sex — AdministrativeGender (required binding)</t>
        </is>
      </c>
      <c r="D11" s="195" t="inlineStr">
        <is>
          <t>(part of TS0-01)</t>
        </is>
      </c>
      <c r="E11" s="196" t="n"/>
      <c r="F11" s="196" t="n"/>
      <c r="G11" s="196" t="n"/>
      <c r="H11" s="188" t="inlineStr">
        <is>
          <t>Yes</t>
        </is>
      </c>
      <c r="I11" s="196" t="n"/>
      <c r="J11" s="196" t="n"/>
      <c r="K11" s="196" t="n"/>
      <c r="L11" s="196" t="n"/>
      <c r="M11" s="197" t="inlineStr">
        <is>
          <t>Not Tested</t>
        </is>
      </c>
      <c r="N11" s="196" t="n"/>
      <c r="O11" s="193">
        <f>IF(M11="Not Met","Needs compliance",IF(M11="Not Tested","Not yet tested",""))</f>
        <v/>
      </c>
      <c r="P11" s="166" t="n"/>
      <c r="T11" s="124" t="inlineStr">
        <is>
          <t>Sub</t>
        </is>
      </c>
      <c r="U11" s="124">
        <f>IF(M11="Not Met","("&amp;1&amp;") "&amp;IF(H11="Yes","★ ","")&amp;C11,"")</f>
        <v/>
      </c>
    </row>
    <row r="12" ht="29" customHeight="1" s="125">
      <c r="A12" s="193" t="inlineStr">
        <is>
          <t>TS0-01.2</t>
        </is>
      </c>
      <c r="B12" s="194" t="inlineStr">
        <is>
          <t>↳ sub-item</t>
        </is>
      </c>
      <c r="C12" s="193" t="inlineStr">
        <is>
          <t>Contact number — ContactPointSystem / ContactPointUse (required binding)</t>
        </is>
      </c>
      <c r="D12" s="195" t="inlineStr">
        <is>
          <t>(part of TS0-01)</t>
        </is>
      </c>
      <c r="E12" s="196" t="n"/>
      <c r="F12" s="196" t="n"/>
      <c r="G12" s="196" t="n"/>
      <c r="H12" s="188" t="inlineStr">
        <is>
          <t>Yes</t>
        </is>
      </c>
      <c r="I12" s="196" t="n"/>
      <c r="J12" s="196" t="n"/>
      <c r="K12" s="196" t="n"/>
      <c r="L12" s="196" t="n"/>
      <c r="M12" s="197" t="inlineStr">
        <is>
          <t>Not Tested</t>
        </is>
      </c>
      <c r="N12" s="196" t="n"/>
      <c r="O12" s="193">
        <f>IF(M12="Not Met","Needs compliance",IF(M12="Not Tested","Not yet tested",""))</f>
        <v/>
      </c>
      <c r="P12" s="166" t="n"/>
      <c r="T12" s="124" t="inlineStr">
        <is>
          <t>Sub</t>
        </is>
      </c>
      <c r="U12" s="124">
        <f>IF(M12="Not Met","("&amp;2&amp;") "&amp;IF(H12="Yes","★ ","")&amp;C12,"")</f>
        <v/>
      </c>
    </row>
    <row r="13" ht="29" customHeight="1" s="125">
      <c r="A13" s="193" t="inlineStr">
        <is>
          <t>TS0-01.3</t>
        </is>
      </c>
      <c r="B13" s="194" t="inlineStr">
        <is>
          <t>↳ sub-item</t>
        </is>
      </c>
      <c r="C13" s="193" t="inlineStr">
        <is>
          <t>Civil status — MaritalStatus value set (required binding in ERefPatient)</t>
        </is>
      </c>
      <c r="D13" s="195" t="inlineStr">
        <is>
          <t>(part of TS0-01)</t>
        </is>
      </c>
      <c r="E13" s="196" t="n"/>
      <c r="F13" s="196" t="n"/>
      <c r="G13" s="196" t="n"/>
      <c r="H13" s="188" t="inlineStr">
        <is>
          <t>Yes</t>
        </is>
      </c>
      <c r="I13" s="196" t="n"/>
      <c r="J13" s="196" t="n"/>
      <c r="K13" s="196" t="n"/>
      <c r="L13" s="196" t="n"/>
      <c r="M13" s="197" t="inlineStr">
        <is>
          <t>Not Tested</t>
        </is>
      </c>
      <c r="N13" s="196" t="n"/>
      <c r="O13" s="193">
        <f>IF(M13="Not Met","Needs compliance",IF(M13="Not Tested","Not yet tested",""))</f>
        <v/>
      </c>
      <c r="P13" s="166" t="n"/>
      <c r="T13" s="124" t="inlineStr">
        <is>
          <t>Sub</t>
        </is>
      </c>
      <c r="U13" s="124">
        <f>IF(M13="Not Met","("&amp;3&amp;") "&amp;IF(H13="Yes","★ ","")&amp;C13,"")</f>
        <v/>
      </c>
    </row>
    <row r="14" ht="56" customHeight="1" s="125">
      <c r="A14" s="193" t="inlineStr">
        <is>
          <t>TS0-01.4</t>
        </is>
      </c>
      <c r="B14" s="194" t="inlineStr">
        <is>
          <t>↳ sub-item</t>
        </is>
      </c>
      <c r="C14" s="193" t="inlineStr">
        <is>
          <t>Accompanied by / next of kin relationship — RelatedPerson relationship type (required binding on Patient.contact.relationship)</t>
        </is>
      </c>
      <c r="D14" s="195" t="inlineStr">
        <is>
          <t>(part of TS0-01)</t>
        </is>
      </c>
      <c r="E14" s="196" t="n"/>
      <c r="F14" s="196" t="n"/>
      <c r="G14" s="196" t="n"/>
      <c r="H14" s="188" t="inlineStr">
        <is>
          <t>Yes</t>
        </is>
      </c>
      <c r="I14" s="196" t="n"/>
      <c r="J14" s="196" t="n"/>
      <c r="K14" s="196" t="n"/>
      <c r="L14" s="196" t="n"/>
      <c r="M14" s="197" t="inlineStr">
        <is>
          <t>Not Tested</t>
        </is>
      </c>
      <c r="N14" s="196" t="n"/>
      <c r="O14" s="193">
        <f>IF(M14="Not Met","Needs compliance",IF(M14="Not Tested","Not yet tested",""))</f>
        <v/>
      </c>
      <c r="P14" s="166" t="n"/>
      <c r="T14" s="124" t="inlineStr">
        <is>
          <t>Sub</t>
        </is>
      </c>
      <c r="U14" s="124">
        <f>IF(M14="Not Met","("&amp;4&amp;") "&amp;IF(H14="Yes","★ ","")&amp;C14,"")</f>
        <v/>
      </c>
    </row>
    <row r="15" ht="301" customHeight="1" s="125">
      <c r="A15" s="172" t="inlineStr">
        <is>
          <t>TS0-02</t>
        </is>
      </c>
      <c r="B15" s="172" t="inlineStr">
        <is>
          <t>PHeReF</t>
        </is>
      </c>
      <c r="C15" s="172" t="inlineStr">
        <is>
          <t>PHeReF coded elements: values match the official PHeReF value sets (not locally invented)</t>
        </is>
      </c>
      <c r="D15" s="172" t="inlineStr">
        <is>
          <t xml:space="preserve">Use the PHeReF value sets for each coded field — sources SRC-01 to SRC-04 and SRC-09. Use the source named in the Terminology &amp; Registry Sources (Reference Guide, Ch. 4) — for coded values, the DOH HIE terminology server (runtime look-up, scheduled sync or cached copy: vendor's choice).
Referral Category → ServiceRequest.category (Referral Category VS, SNOMED CT: 73770003 Emergency / 440655000 Outpatient — required). Priority → ServiceRequest.priority (EReferralPriority: routine / urgent / stat — required). Reason for Referral → ServiceRequest.reasonCode (Reason for Referral (Service Type) VS, SNOMED CT). Practitioner Role → PractitionerRole.code (Practitioner Role VS — required). Task status → Task.status (FHIR TaskStatus: requested, received, accepted, rejected, completed).
Purpose: TS1, TS2 and the Level 3 reports cannot work if these codes are wrong — all five are critical.
</t>
        </is>
      </c>
      <c r="E15" s="172" t="inlineStr">
        <is>
          <t xml:space="preserve">1. Check that the system's configured terminology endpoint is the DOH HIE terminology server (Terminology &amp; Registry Sources — Reference Guide, Ch. 4).
2. Open each field / dropdown listed as a sub-item and compare the options with the value set on the server ($expand), or check the submitted code ($validate-code).
3. A sub-item is Met only if every option / submitted code belongs to the bound value set.
Mark each sub-item (↳) below; Achieved is counted automatically. ★ = critical sub-item: if it is Not Met (or N/A) the criterion counts as a critical failure.
</t>
        </is>
      </c>
      <c r="F15" s="172" t="inlineStr">
        <is>
          <t>Screenshot of each dropdown + server response ($expand / $validate-code)</t>
        </is>
      </c>
      <c r="G15" s="172" t="inlineStr">
        <is>
          <t>Validator + server-side check + Observer</t>
        </is>
      </c>
      <c r="H15" s="188" t="inlineStr">
        <is>
          <t>Yes</t>
        </is>
      </c>
      <c r="I15" s="172" t="n">
        <v>2</v>
      </c>
      <c r="J15" s="172" t="inlineStr">
        <is>
          <t>Count</t>
        </is>
      </c>
      <c r="K15" s="192">
        <f>COUNTA(A16:A20)-COUNTIF(M16:M20,"N/A")</f>
        <v/>
      </c>
      <c r="L15" s="192">
        <f>COUNTIF(M16:M20,"Met")</f>
        <v/>
      </c>
      <c r="M15" s="192">
        <f>IF(COUNTIF(M16:M20,"N/A")=COUNTA(A16:A20),"N/A",IF(COUNTIF(M16:M20,"Not Tested")&gt;0,"Not Tested","Counted"))</f>
        <v/>
      </c>
      <c r="N15" s="191">
        <f>IF(M15="N/A",IF(H15="Yes",0,""),IF(M15="Not Tested",0,IF(J15="Tier",IF(M15="Fully integrated",1,IF(M15="Standalone - manual encoding",0.5,0)),IF(J15="Binary",IF(M15="Met",1,0),IF(M15="Counted",IF(N(K15)&gt;0,IF(J15="All-or-nothing",IF(N(L15)&gt;=K15,1,0),MIN(N(L15)/K15,1)),0),0)))))</f>
        <v/>
      </c>
      <c r="O15" s="172">
        <f>IF(COUNTIF(M16:M20,"Not Met")&gt;0,COUNTIF(M16:M20,"Not Met")&amp;" of "&amp;K15&amp;" need compliance: "&amp;_xlfn.TEXTJOIN("; ",TRUE(),U16:U20),IF(COUNTIF(M16:M20,"Not Tested")&gt;0,COUNTIF(M16:M20,"Not Tested")&amp;" of "&amp;COUNTA(A16:A20)&amp;" not yet tested",IF(M15="N/A","","All compliant")))</f>
        <v/>
      </c>
      <c r="P15" s="173" t="n"/>
      <c r="Q15" s="175">
        <f>IF(N15="",0,I15)</f>
        <v/>
      </c>
      <c r="R15" s="175">
        <f>IF(N15="",0,I15*N15)</f>
        <v/>
      </c>
      <c r="S15" s="175">
        <f>IF(OR(AND(H15="Yes",M15&lt;&gt;"Not Tested",N15&lt;&gt;"",N15&lt;1),COUNTIFS(H16:H20,"Yes",M16:M20,"Not Met")+COUNTIFS(H16:H20,"Yes",M16:M20,"N/A")&gt;0),1,0)</f>
        <v/>
      </c>
      <c r="T15" s="175" t="inlineStr">
        <is>
          <t>Criterion</t>
        </is>
      </c>
      <c r="U15" s="175" t="n"/>
      <c r="V15" s="175">
        <f>COUNTA(A16:A20)-COUNTIF(M16:M20,"Not Tested")</f>
        <v/>
      </c>
      <c r="W15" s="175">
        <f>IF(AND(T15="Criterion",I15&gt;0,M15&lt;&gt;"Not Tested",N15&lt;&gt;"",OR(N(N15)&lt;1,S15=1)),A15,"")</f>
        <v/>
      </c>
    </row>
    <row r="16" ht="29" customHeight="1" s="125">
      <c r="A16" s="193" t="inlineStr">
        <is>
          <t>TS0-02.1</t>
        </is>
      </c>
      <c r="B16" s="194" t="inlineStr">
        <is>
          <t>↳ sub-item</t>
        </is>
      </c>
      <c r="C16" s="193" t="inlineStr">
        <is>
          <t>Practitioner Role — PHeReF Practitioner Role VS (required binding)</t>
        </is>
      </c>
      <c r="D16" s="195" t="inlineStr">
        <is>
          <t>(part of TS0-02)</t>
        </is>
      </c>
      <c r="E16" s="196" t="n"/>
      <c r="F16" s="196" t="n"/>
      <c r="G16" s="196" t="n"/>
      <c r="H16" s="188" t="inlineStr">
        <is>
          <t>Yes</t>
        </is>
      </c>
      <c r="I16" s="196" t="n"/>
      <c r="J16" s="196" t="n"/>
      <c r="K16" s="196" t="n"/>
      <c r="L16" s="196" t="n"/>
      <c r="M16" s="197" t="inlineStr">
        <is>
          <t>Not Tested</t>
        </is>
      </c>
      <c r="N16" s="196" t="n"/>
      <c r="O16" s="193">
        <f>IF(M16="Not Met","Needs compliance",IF(M16="Not Tested","Not yet tested",""))</f>
        <v/>
      </c>
      <c r="P16" s="166" t="n"/>
      <c r="T16" s="124" t="inlineStr">
        <is>
          <t>Sub</t>
        </is>
      </c>
      <c r="U16" s="124">
        <f>IF(M16="Not Met","("&amp;1&amp;") "&amp;IF(H16="Yes","★ ","")&amp;C16,"")</f>
        <v/>
      </c>
    </row>
    <row r="17" ht="42.5" customHeight="1" s="125">
      <c r="A17" s="193" t="inlineStr">
        <is>
          <t>TS0-02.2</t>
        </is>
      </c>
      <c r="B17" s="194" t="inlineStr">
        <is>
          <t>↳ sub-item</t>
        </is>
      </c>
      <c r="C17" s="193" t="inlineStr">
        <is>
          <t>Referral Category — PHeReF Referral Category VS, SNOMED CT Emergency / Outpatient (required binding)</t>
        </is>
      </c>
      <c r="D17" s="195" t="inlineStr">
        <is>
          <t>(part of TS0-02)</t>
        </is>
      </c>
      <c r="E17" s="196" t="n"/>
      <c r="F17" s="196" t="n"/>
      <c r="G17" s="196" t="n"/>
      <c r="H17" s="188" t="inlineStr">
        <is>
          <t>Yes</t>
        </is>
      </c>
      <c r="I17" s="196" t="n"/>
      <c r="J17" s="196" t="n"/>
      <c r="K17" s="196" t="n"/>
      <c r="L17" s="196" t="n"/>
      <c r="M17" s="197" t="inlineStr">
        <is>
          <t>Not Tested</t>
        </is>
      </c>
      <c r="N17" s="196" t="n"/>
      <c r="O17" s="193">
        <f>IF(M17="Not Met","Needs compliance",IF(M17="Not Tested","Not yet tested",""))</f>
        <v/>
      </c>
      <c r="P17" s="166" t="n"/>
      <c r="T17" s="124" t="inlineStr">
        <is>
          <t>Sub</t>
        </is>
      </c>
      <c r="U17" s="124">
        <f>IF(M17="Not Met","("&amp;2&amp;") "&amp;IF(H17="Yes","★ ","")&amp;C17,"")</f>
        <v/>
      </c>
    </row>
    <row r="18" ht="29" customHeight="1" s="125">
      <c r="A18" s="193" t="inlineStr">
        <is>
          <t>TS0-02.3</t>
        </is>
      </c>
      <c r="B18" s="194" t="inlineStr">
        <is>
          <t>↳ sub-item</t>
        </is>
      </c>
      <c r="C18" s="193" t="inlineStr">
        <is>
          <t>Priority — EReferralPriority: routine / urgent / stat (required binding)</t>
        </is>
      </c>
      <c r="D18" s="195" t="inlineStr">
        <is>
          <t>(part of TS0-02)</t>
        </is>
      </c>
      <c r="E18" s="196" t="n"/>
      <c r="F18" s="196" t="n"/>
      <c r="G18" s="196" t="n"/>
      <c r="H18" s="188" t="inlineStr">
        <is>
          <t>Yes</t>
        </is>
      </c>
      <c r="I18" s="196" t="n"/>
      <c r="J18" s="196" t="n"/>
      <c r="K18" s="196" t="n"/>
      <c r="L18" s="196" t="n"/>
      <c r="M18" s="197" t="inlineStr">
        <is>
          <t>Not Tested</t>
        </is>
      </c>
      <c r="N18" s="196" t="n"/>
      <c r="O18" s="193">
        <f>IF(M18="Not Met","Needs compliance",IF(M18="Not Tested","Not yet tested",""))</f>
        <v/>
      </c>
      <c r="P18" s="166" t="n"/>
      <c r="T18" s="124" t="inlineStr">
        <is>
          <t>Sub</t>
        </is>
      </c>
      <c r="U18" s="124">
        <f>IF(M18="Not Met","("&amp;3&amp;") "&amp;IF(H18="Yes","★ ","")&amp;C18,"")</f>
        <v/>
      </c>
    </row>
    <row r="19" ht="29" customHeight="1" s="125">
      <c r="A19" s="193" t="inlineStr">
        <is>
          <t>TS0-02.4</t>
        </is>
      </c>
      <c r="B19" s="194" t="inlineStr">
        <is>
          <t>↳ sub-item</t>
        </is>
      </c>
      <c r="C19" s="193" t="inlineStr">
        <is>
          <t>Reason for Referral (service type) — PHeReF Reason for Referral VS, SNOMED CT</t>
        </is>
      </c>
      <c r="D19" s="195" t="inlineStr">
        <is>
          <t>(part of TS0-02)</t>
        </is>
      </c>
      <c r="E19" s="196" t="n"/>
      <c r="F19" s="196" t="n"/>
      <c r="G19" s="196" t="n"/>
      <c r="H19" s="188" t="inlineStr">
        <is>
          <t>Yes</t>
        </is>
      </c>
      <c r="I19" s="196" t="n"/>
      <c r="J19" s="196" t="n"/>
      <c r="K19" s="196" t="n"/>
      <c r="L19" s="196" t="n"/>
      <c r="M19" s="197" t="inlineStr">
        <is>
          <t>Not Tested</t>
        </is>
      </c>
      <c r="N19" s="196" t="n"/>
      <c r="O19" s="193">
        <f>IF(M19="Not Met","Needs compliance",IF(M19="Not Tested","Not yet tested",""))</f>
        <v/>
      </c>
      <c r="P19" s="166" t="n"/>
      <c r="T19" s="124" t="inlineStr">
        <is>
          <t>Sub</t>
        </is>
      </c>
      <c r="U19" s="124">
        <f>IF(M19="Not Met","("&amp;4&amp;") "&amp;IF(H19="Yes","★ ","")&amp;C19,"")</f>
        <v/>
      </c>
    </row>
    <row r="20" ht="42.5" customHeight="1" s="125">
      <c r="A20" s="193" t="inlineStr">
        <is>
          <t>TS0-02.5</t>
        </is>
      </c>
      <c r="B20" s="194" t="inlineStr">
        <is>
          <t>↳ sub-item</t>
        </is>
      </c>
      <c r="C20" s="193" t="inlineStr">
        <is>
          <t>Task status — FHIR TaskStatus (requested / received / accepted / rejected / completed)</t>
        </is>
      </c>
      <c r="D20" s="195" t="inlineStr">
        <is>
          <t>(part of TS0-02)</t>
        </is>
      </c>
      <c r="E20" s="196" t="n"/>
      <c r="F20" s="196" t="n"/>
      <c r="G20" s="196" t="n"/>
      <c r="H20" s="188" t="inlineStr">
        <is>
          <t>Yes</t>
        </is>
      </c>
      <c r="I20" s="196" t="n"/>
      <c r="J20" s="196" t="n"/>
      <c r="K20" s="196" t="n"/>
      <c r="L20" s="196" t="n"/>
      <c r="M20" s="197" t="inlineStr">
        <is>
          <t>Not Tested</t>
        </is>
      </c>
      <c r="N20" s="196" t="n"/>
      <c r="O20" s="193">
        <f>IF(M20="Not Met","Needs compliance",IF(M20="Not Tested","Not yet tested",""))</f>
        <v/>
      </c>
      <c r="P20" s="166" t="n"/>
      <c r="T20" s="124" t="inlineStr">
        <is>
          <t>Sub</t>
        </is>
      </c>
      <c r="U20" s="124">
        <f>IF(M20="Not Met","("&amp;5&amp;") "&amp;IF(H20="Yes","★ ","")&amp;C20,"")</f>
        <v/>
      </c>
    </row>
    <row r="21" ht="166" customHeight="1" s="125">
      <c r="A21" s="172" t="inlineStr">
        <is>
          <t>TS0-03</t>
        </is>
      </c>
      <c r="B21" s="172" t="inlineStr">
        <is>
          <t>Terminology</t>
        </is>
      </c>
      <c r="C21" s="172" t="inlineStr">
        <is>
          <t>Invalid codes are handled gracefully: the system prevents a code outside the bound value set, OR clearly shows the SHR's rejection to the user and lets them correct and resend (Connectathon Issue #25)</t>
        </is>
      </c>
      <c r="D21" s="172" t="inlineStr">
        <is>
          <t xml:space="preserve">Either (a) validate coded fields before saving / sending (e.g., pick-lists built from the value set, $validate-code) so an out-of-value-set code cannot be entered, or (b) when the SHR rejects the referral, show the user a clear error naming the field and allow correction and resend. Which approach is used is the vendor's choice.
Purpose: Wrong codes never silently enter the referral or the dashboards, and users are never left with a failed referral they cannot see.
</t>
        </is>
      </c>
      <c r="E21" s="172" t="inlineStr">
        <is>
          <t xml:space="preserve">Validator (server-side) attempts to submit one code outside the value set (e.g., for Reason for Referral).
Met if EITHER the EMR blocks / flags it before sending, OR the EMR displays the SHR's rejection in understandable terms and the user can correct and resend successfully.
Not Met if the error is not shown to the user, or the code is accepted.
</t>
        </is>
      </c>
      <c r="F21" s="172" t="inlineStr">
        <is>
          <t>Screenshot of the block / error message + server-side evidence of the rejected and corrected submission</t>
        </is>
      </c>
      <c r="G21" s="172" t="inlineStr">
        <is>
          <t>Validator + server-side check + Observer</t>
        </is>
      </c>
      <c r="H21" s="188" t="inlineStr">
        <is>
          <t>Yes</t>
        </is>
      </c>
      <c r="I21" s="172" t="n">
        <v>2</v>
      </c>
      <c r="J21" s="172" t="inlineStr">
        <is>
          <t>Binary</t>
        </is>
      </c>
      <c r="K21" s="192" t="n"/>
      <c r="L21" s="192" t="n"/>
      <c r="M21" s="192" t="inlineStr">
        <is>
          <t>Not Tested</t>
        </is>
      </c>
      <c r="N21" s="191">
        <f>IF(M21="N/A",IF(H21="Yes",0,""),IF(M21="Not Tested",0,IF(J21="Tier",IF(M21="Fully integrated",1,IF(M21="Standalone - manual encoding",0.5,0)),IF(J21="Binary",IF(M21="Met",1,0),IF(M21="Counted",IF(N(K21)&gt;0,IF(J21="All-or-nothing",IF(N(L21)&gt;=K21,1,0),MIN(N(L21)/K21,1)),0),0)))))</f>
        <v/>
      </c>
      <c r="O21" s="172">
        <f>IF(M21="Not Met","Needs compliance",IF(M21="Not Tested","Not yet tested",""))</f>
        <v/>
      </c>
      <c r="P21" s="173" t="n"/>
      <c r="Q21" s="175">
        <f>IF(N21="",0,I21)</f>
        <v/>
      </c>
      <c r="R21" s="175">
        <f>IF(N21="",0,I21*N21)</f>
        <v/>
      </c>
      <c r="S21" s="175">
        <f>IF(AND(H21="Yes",M21&lt;&gt;"Not Tested",N21&lt;&gt;"",N21&lt;1),1,0)</f>
        <v/>
      </c>
      <c r="T21" s="175" t="inlineStr">
        <is>
          <t>Criterion</t>
        </is>
      </c>
      <c r="U21" s="175" t="n"/>
      <c r="V21" s="175" t="n"/>
      <c r="W21" s="175">
        <f>IF(AND(T21="Criterion",I21&gt;0,M21&lt;&gt;"Not Tested",N21&lt;&gt;"",OR(N(N21)&lt;1,S21=1)),A21,"")</f>
        <v/>
      </c>
    </row>
    <row r="22" ht="112" customHeight="1" s="125">
      <c r="A22" s="172" t="inlineStr">
        <is>
          <t>TS0-04</t>
        </is>
      </c>
      <c r="B22" s="172" t="inlineStr">
        <is>
          <t>Terminology</t>
        </is>
      </c>
      <c r="C22" s="172" t="inlineStr">
        <is>
          <t>Codes are displayed with their official display text (no locally renamed labels)</t>
        </is>
      </c>
      <c r="D22" s="172" t="inlineStr">
        <is>
          <t xml:space="preserve">Display the official display text from the terminology server; do not rename code labels locally. A local translation may be shown in addition to, not instead of, the official text.
Purpose: Everyone sees the same meaning for the same code.
</t>
        </is>
      </c>
      <c r="E22" s="172" t="inlineStr">
        <is>
          <t xml:space="preserve">Compare displayed labels for 3 value sets against the terminology server display. Count matching value sets.
Mark each sub-item (↳) below; Achieved is counted automatically. ★ = critical sub-item: if it is Not Met (or N/A) the criterion counts as a critical failure.
</t>
        </is>
      </c>
      <c r="F22" s="172" t="inlineStr">
        <is>
          <t>Screenshots side-by-side</t>
        </is>
      </c>
      <c r="G22" s="172" t="inlineStr">
        <is>
          <t>Validator + server-side check + Observer</t>
        </is>
      </c>
      <c r="H22" s="188" t="inlineStr">
        <is>
          <t>No</t>
        </is>
      </c>
      <c r="I22" s="172" t="n">
        <v>1</v>
      </c>
      <c r="J22" s="172" t="inlineStr">
        <is>
          <t>Count</t>
        </is>
      </c>
      <c r="K22" s="192">
        <f>COUNTA(A23:A25)-COUNTIF(M23:M25,"N/A")</f>
        <v/>
      </c>
      <c r="L22" s="192">
        <f>COUNTIF(M23:M25,"Met")</f>
        <v/>
      </c>
      <c r="M22" s="192">
        <f>IF(COUNTIF(M23:M25,"N/A")=COUNTA(A23:A25),"N/A",IF(COUNTIF(M23:M25,"Not Tested")&gt;0,"Not Tested","Counted"))</f>
        <v/>
      </c>
      <c r="N22" s="191">
        <f>IF(M22="N/A",IF(H22="Yes",0,""),IF(M22="Not Tested",0,IF(J22="Tier",IF(M22="Fully integrated",1,IF(M22="Standalone - manual encoding",0.5,0)),IF(J22="Binary",IF(M22="Met",1,0),IF(M22="Counted",IF(N(K22)&gt;0,IF(J22="All-or-nothing",IF(N(L22)&gt;=K22,1,0),MIN(N(L22)/K22,1)),0),0)))))</f>
        <v/>
      </c>
      <c r="O22" s="172">
        <f>IF(COUNTIF(M23:M25,"Not Met")&gt;0,COUNTIF(M23:M25,"Not Met")&amp;" of "&amp;K22&amp;" need compliance: "&amp;_xlfn.TEXTJOIN("; ",TRUE(),U23:U25),IF(COUNTIF(M23:M25,"Not Tested")&gt;0,COUNTIF(M23:M25,"Not Tested")&amp;" of "&amp;COUNTA(A23:A25)&amp;" not yet tested",IF(M22="N/A","","All compliant")))</f>
        <v/>
      </c>
      <c r="P22" s="173" t="n"/>
      <c r="Q22" s="175">
        <f>IF(N22="",0,I22)</f>
        <v/>
      </c>
      <c r="R22" s="175">
        <f>IF(N22="",0,I22*N22)</f>
        <v/>
      </c>
      <c r="S22" s="175">
        <f>IF(OR(AND(H22="Yes",M22&lt;&gt;"Not Tested",N22&lt;&gt;"",N22&lt;1),COUNTIFS(H23:H25,"Yes",M23:M25,"Not Met")+COUNTIFS(H23:H25,"Yes",M23:M25,"N/A")&gt;0),1,0)</f>
        <v/>
      </c>
      <c r="T22" s="175" t="inlineStr">
        <is>
          <t>Criterion</t>
        </is>
      </c>
      <c r="U22" s="175" t="n"/>
      <c r="V22" s="175">
        <f>COUNTA(A23:A25)-COUNTIF(M23:M25,"Not Tested")</f>
        <v/>
      </c>
      <c r="W22" s="175">
        <f>IF(AND(T22="Criterion",I22&gt;0,M22&lt;&gt;"Not Tested",N22&lt;&gt;"",OR(N(N22)&lt;1,S22=1)),A22,"")</f>
        <v/>
      </c>
    </row>
    <row r="23" ht="29" customHeight="1" s="125">
      <c r="A23" s="193" t="inlineStr">
        <is>
          <t>TS0-04.1</t>
        </is>
      </c>
      <c r="B23" s="194" t="inlineStr">
        <is>
          <t>↳ sub-item</t>
        </is>
      </c>
      <c r="C23" s="193" t="inlineStr">
        <is>
          <t>Practitioner Role — official display text</t>
        </is>
      </c>
      <c r="D23" s="195" t="inlineStr">
        <is>
          <t>(part of TS0-04)</t>
        </is>
      </c>
      <c r="E23" s="196" t="n"/>
      <c r="F23" s="196" t="n"/>
      <c r="G23" s="196" t="n"/>
      <c r="H23" s="188" t="n"/>
      <c r="I23" s="196" t="n"/>
      <c r="J23" s="196" t="n"/>
      <c r="K23" s="196" t="n"/>
      <c r="L23" s="196" t="n"/>
      <c r="M23" s="197" t="inlineStr">
        <is>
          <t>Not Tested</t>
        </is>
      </c>
      <c r="N23" s="196" t="n"/>
      <c r="O23" s="193">
        <f>IF(M23="Not Met","Needs compliance",IF(M23="Not Tested","Not yet tested",""))</f>
        <v/>
      </c>
      <c r="P23" s="166" t="n"/>
      <c r="T23" s="124" t="inlineStr">
        <is>
          <t>Sub</t>
        </is>
      </c>
      <c r="U23" s="124">
        <f>IF(M23="Not Met","("&amp;1&amp;") "&amp;IF(H23="Yes","★ ","")&amp;C23,"")</f>
        <v/>
      </c>
    </row>
    <row r="24" ht="29" customHeight="1" s="125">
      <c r="A24" s="193" t="inlineStr">
        <is>
          <t>TS0-04.2</t>
        </is>
      </c>
      <c r="B24" s="194" t="inlineStr">
        <is>
          <t>↳ sub-item</t>
        </is>
      </c>
      <c r="C24" s="193" t="inlineStr">
        <is>
          <t>Referral Category — official display text</t>
        </is>
      </c>
      <c r="D24" s="195" t="inlineStr">
        <is>
          <t>(part of TS0-04)</t>
        </is>
      </c>
      <c r="E24" s="196" t="n"/>
      <c r="F24" s="196" t="n"/>
      <c r="G24" s="196" t="n"/>
      <c r="H24" s="188" t="n"/>
      <c r="I24" s="196" t="n"/>
      <c r="J24" s="196" t="n"/>
      <c r="K24" s="196" t="n"/>
      <c r="L24" s="196" t="n"/>
      <c r="M24" s="197" t="inlineStr">
        <is>
          <t>Not Tested</t>
        </is>
      </c>
      <c r="N24" s="196" t="n"/>
      <c r="O24" s="193">
        <f>IF(M24="Not Met","Needs compliance",IF(M24="Not Tested","Not yet tested",""))</f>
        <v/>
      </c>
      <c r="P24" s="166" t="n"/>
      <c r="T24" s="124" t="inlineStr">
        <is>
          <t>Sub</t>
        </is>
      </c>
      <c r="U24" s="124">
        <f>IF(M24="Not Met","("&amp;2&amp;") "&amp;IF(H24="Yes","★ ","")&amp;C24,"")</f>
        <v/>
      </c>
    </row>
    <row r="25" ht="29" customHeight="1" s="125">
      <c r="A25" s="193" t="inlineStr">
        <is>
          <t>TS0-04.3</t>
        </is>
      </c>
      <c r="B25" s="194" t="inlineStr">
        <is>
          <t>↳ sub-item</t>
        </is>
      </c>
      <c r="C25" s="193" t="inlineStr">
        <is>
          <t>Reason for Referral — official display text</t>
        </is>
      </c>
      <c r="D25" s="195" t="inlineStr">
        <is>
          <t>(part of TS0-04)</t>
        </is>
      </c>
      <c r="E25" s="196" t="n"/>
      <c r="F25" s="196" t="n"/>
      <c r="G25" s="196" t="n"/>
      <c r="H25" s="188" t="n"/>
      <c r="I25" s="196" t="n"/>
      <c r="J25" s="196" t="n"/>
      <c r="K25" s="196" t="n"/>
      <c r="L25" s="196" t="n"/>
      <c r="M25" s="197" t="inlineStr">
        <is>
          <t>Not Tested</t>
        </is>
      </c>
      <c r="N25" s="196" t="n"/>
      <c r="O25" s="193">
        <f>IF(M25="Not Met","Needs compliance",IF(M25="Not Tested","Not yet tested",""))</f>
        <v/>
      </c>
      <c r="P25" s="166" t="n"/>
      <c r="T25" s="124" t="inlineStr">
        <is>
          <t>Sub</t>
        </is>
      </c>
      <c r="U25" s="124">
        <f>IF(M25="Not Met","("&amp;3&amp;") "&amp;IF(H25="Yes","★ ","")&amp;C25,"")</f>
        <v/>
      </c>
    </row>
    <row r="26" ht="139" customHeight="1" s="125">
      <c r="A26" s="172" t="inlineStr">
        <is>
          <t>TS0-05</t>
        </is>
      </c>
      <c r="B26" s="172" t="inlineStr">
        <is>
          <t>SNOMED CT / LOINC</t>
        </is>
      </c>
      <c r="C26" s="172" t="inlineStr">
        <is>
          <t>International code systems used where the PH Core / PHeReF IG binds them are valid codes on the DOH terminology server: SNOMED CT, LOINC and ICD-10</t>
        </is>
      </c>
      <c r="D26" s="172" t="inlineStr">
        <is>
          <t xml:space="preserve">Where the IG binds a field to SNOMED CT (practitioner role, referral category, reason for referral) or LOINC (vital-sign Observation codes), or ICD-10 (working impression, where bound), send codes that exist in the edition loaded on the DOH terminology server, with the correct system URI.
Purpose: Codes are valid and comparable across facilities.
</t>
        </is>
      </c>
      <c r="E26" s="172" t="inlineStr">
        <is>
          <t xml:space="preserve">Validator (server-side) runs CodeSystem/$validate-code on the DOH terminology server (or $validate on the submitted bundle) for every SNOMED CT, LOINC and ICD-10 code in the Test Data referral. A sub-item is Met only if every code of that system is valid.
Mark each sub-item (↳) below; Achieved is counted automatically. ★ = critical sub-item: if it is Not Met (or N/A) the criterion counts as a critical failure.
</t>
        </is>
      </c>
      <c r="F26" s="172" t="inlineStr">
        <is>
          <t>$validate-code / $validate output</t>
        </is>
      </c>
      <c r="G26" s="172" t="inlineStr">
        <is>
          <t>Validator + server-side check + Observer</t>
        </is>
      </c>
      <c r="H26" s="188" t="inlineStr">
        <is>
          <t>No</t>
        </is>
      </c>
      <c r="I26" s="172" t="n">
        <v>2</v>
      </c>
      <c r="J26" s="172" t="inlineStr">
        <is>
          <t>Count</t>
        </is>
      </c>
      <c r="K26" s="192">
        <f>COUNTA(A27:A29)-COUNTIF(M27:M29,"N/A")</f>
        <v/>
      </c>
      <c r="L26" s="192">
        <f>COUNTIF(M27:M29,"Met")</f>
        <v/>
      </c>
      <c r="M26" s="192">
        <f>IF(COUNTIF(M27:M29,"N/A")=COUNTA(A27:A29),"N/A",IF(COUNTIF(M27:M29,"Not Tested")&gt;0,"Not Tested","Counted"))</f>
        <v/>
      </c>
      <c r="N26" s="191">
        <f>IF(M26="N/A",IF(H26="Yes",0,""),IF(M26="Not Tested",0,IF(J26="Tier",IF(M26="Fully integrated",1,IF(M26="Standalone - manual encoding",0.5,0)),IF(J26="Binary",IF(M26="Met",1,0),IF(M26="Counted",IF(N(K26)&gt;0,IF(J26="All-or-nothing",IF(N(L26)&gt;=K26,1,0),MIN(N(L26)/K26,1)),0),0)))))</f>
        <v/>
      </c>
      <c r="O26" s="172">
        <f>IF(COUNTIF(M27:M29,"Not Met")&gt;0,COUNTIF(M27:M29,"Not Met")&amp;" of "&amp;K26&amp;" need compliance: "&amp;_xlfn.TEXTJOIN("; ",TRUE(),U27:U29),IF(COUNTIF(M27:M29,"Not Tested")&gt;0,COUNTIF(M27:M29,"Not Tested")&amp;" of "&amp;COUNTA(A27:A29)&amp;" not yet tested",IF(M26="N/A","","All compliant")))</f>
        <v/>
      </c>
      <c r="P26" s="173" t="n"/>
      <c r="Q26" s="175">
        <f>IF(N26="",0,I26)</f>
        <v/>
      </c>
      <c r="R26" s="175">
        <f>IF(N26="",0,I26*N26)</f>
        <v/>
      </c>
      <c r="S26" s="175">
        <f>IF(OR(AND(H26="Yes",M26&lt;&gt;"Not Tested",N26&lt;&gt;"",N26&lt;1),COUNTIFS(H27:H29,"Yes",M27:M29,"Not Met")+COUNTIFS(H27:H29,"Yes",M27:M29,"N/A")&gt;0),1,0)</f>
        <v/>
      </c>
      <c r="T26" s="175" t="inlineStr">
        <is>
          <t>Criterion</t>
        </is>
      </c>
      <c r="U26" s="175" t="n"/>
      <c r="V26" s="175">
        <f>COUNTA(A27:A29)-COUNTIF(M27:M29,"Not Tested")</f>
        <v/>
      </c>
      <c r="W26" s="175">
        <f>IF(AND(T26="Criterion",I26&gt;0,M26&lt;&gt;"Not Tested",N26&lt;&gt;"",OR(N(N26)&lt;1,S26=1)),A26,"")</f>
        <v/>
      </c>
    </row>
    <row r="27" ht="29" customHeight="1" s="125">
      <c r="A27" s="193" t="inlineStr">
        <is>
          <t>TS0-05.1</t>
        </is>
      </c>
      <c r="B27" s="194" t="inlineStr">
        <is>
          <t>↳ sub-item</t>
        </is>
      </c>
      <c r="C27" s="193" t="inlineStr">
        <is>
          <t>SNOMED CT — codes valid; system = http://snomed.info/sct</t>
        </is>
      </c>
      <c r="D27" s="195" t="inlineStr">
        <is>
          <t>(part of TS0-05)</t>
        </is>
      </c>
      <c r="E27" s="196" t="n"/>
      <c r="F27" s="196" t="n"/>
      <c r="G27" s="196" t="n"/>
      <c r="H27" s="188" t="n"/>
      <c r="I27" s="196" t="n"/>
      <c r="J27" s="196" t="n"/>
      <c r="K27" s="196" t="n"/>
      <c r="L27" s="196" t="n"/>
      <c r="M27" s="197" t="inlineStr">
        <is>
          <t>Not Tested</t>
        </is>
      </c>
      <c r="N27" s="196" t="n"/>
      <c r="O27" s="193">
        <f>IF(M27="Not Met","Needs compliance",IF(M27="Not Tested","Not yet tested",""))</f>
        <v/>
      </c>
      <c r="P27" s="166" t="n"/>
      <c r="T27" s="124" t="inlineStr">
        <is>
          <t>Sub</t>
        </is>
      </c>
      <c r="U27" s="124">
        <f>IF(M27="Not Met","("&amp;1&amp;") "&amp;IF(H27="Yes","★ ","")&amp;C27,"")</f>
        <v/>
      </c>
    </row>
    <row r="28" ht="29" customHeight="1" s="125">
      <c r="A28" s="193" t="inlineStr">
        <is>
          <t>TS0-05.2</t>
        </is>
      </c>
      <c r="B28" s="194" t="inlineStr">
        <is>
          <t>↳ sub-item</t>
        </is>
      </c>
      <c r="C28" s="193" t="inlineStr">
        <is>
          <t>LOINC — vital-sign codes valid; system = http://loinc.org</t>
        </is>
      </c>
      <c r="D28" s="195" t="inlineStr">
        <is>
          <t>(part of TS0-05)</t>
        </is>
      </c>
      <c r="E28" s="196" t="n"/>
      <c r="F28" s="196" t="n"/>
      <c r="G28" s="196" t="n"/>
      <c r="H28" s="188" t="n"/>
      <c r="I28" s="196" t="n"/>
      <c r="J28" s="196" t="n"/>
      <c r="K28" s="196" t="n"/>
      <c r="L28" s="196" t="n"/>
      <c r="M28" s="197" t="inlineStr">
        <is>
          <t>Not Tested</t>
        </is>
      </c>
      <c r="N28" s="196" t="n"/>
      <c r="O28" s="193">
        <f>IF(M28="Not Met","Needs compliance",IF(M28="Not Tested","Not yet tested",""))</f>
        <v/>
      </c>
      <c r="P28" s="166" t="n"/>
      <c r="T28" s="124" t="inlineStr">
        <is>
          <t>Sub</t>
        </is>
      </c>
      <c r="U28" s="124">
        <f>IF(M28="Not Met","("&amp;2&amp;") "&amp;IF(H28="Yes","★ ","")&amp;C28,"")</f>
        <v/>
      </c>
    </row>
    <row r="29" ht="42.5" customHeight="1" s="125">
      <c r="A29" s="193" t="inlineStr">
        <is>
          <t>TS0-05.3</t>
        </is>
      </c>
      <c r="B29" s="194" t="inlineStr">
        <is>
          <t>↳ sub-item</t>
        </is>
      </c>
      <c r="C29" s="193" t="inlineStr">
        <is>
          <t>ICD-10 — working-impression codes valid; system = http://hl7.org/fhir/sid/icd-10 (N/A if not bound)</t>
        </is>
      </c>
      <c r="D29" s="195" t="inlineStr">
        <is>
          <t>(part of TS0-05)</t>
        </is>
      </c>
      <c r="E29" s="196" t="n"/>
      <c r="F29" s="196" t="n"/>
      <c r="G29" s="196" t="n"/>
      <c r="H29" s="188" t="n"/>
      <c r="I29" s="196" t="n"/>
      <c r="J29" s="196" t="n"/>
      <c r="K29" s="196" t="n"/>
      <c r="L29" s="196" t="n"/>
      <c r="M29" s="197" t="inlineStr">
        <is>
          <t>Not Tested</t>
        </is>
      </c>
      <c r="N29" s="196" t="n"/>
      <c r="O29" s="193">
        <f>IF(M29="Not Met","Needs compliance",IF(M29="Not Tested","Not yet tested",""))</f>
        <v/>
      </c>
      <c r="P29" s="166" t="n"/>
      <c r="T29" s="124" t="inlineStr">
        <is>
          <t>Sub</t>
        </is>
      </c>
      <c r="U29" s="124">
        <f>IF(M29="Not Met","("&amp;3&amp;") "&amp;IF(H29="Yes","★ ","")&amp;C29,"")</f>
        <v/>
      </c>
    </row>
    <row r="30" ht="179.5" customHeight="1" s="125">
      <c r="A30" s="172" t="inlineStr">
        <is>
          <t>TS0-06</t>
        </is>
      </c>
      <c r="B30" s="172" t="inlineStr">
        <is>
          <t>Registry</t>
        </is>
      </c>
      <c r="C30" s="172" t="inlineStr">
        <is>
          <t>Geographic, facility and health-worker values come from the official national registries and match them: PSGC, NHFR, NHWR</t>
        </is>
      </c>
      <c r="D30" s="172" t="inlineStr">
        <is>
          <t xml:space="preserve">Take PSGC codes from the PSA PSGC release announced by the DOH (SRC-10), facility codes from the NHFR (SRC-11) and practitioner identifiers from the NHWR / PRC (SRC-12). How the registry is accessed (API, scheduled sync or official download) is the vendor's choice; the release must match the DOH server.
Purpose: PSGC and NHFR are critical — the receiving facility finds its referrals by NHFR code (TS2-01) and the Level 3 reports group by facility and municipality.
</t>
        </is>
      </c>
      <c r="E30" s="172" t="inlineStr">
        <is>
          <t xml:space="preserve">1. Open each field listed as a sub-item and compare the values with the source named in the Terminology &amp; Registry Sources (Reference Guide, Ch. 4).
2. Server-side check: confirm the submitted codes exist in that registry / the DOH terminology server.
3. For NHFR (TS0-06.2): try to type a facility that is not in the NHFR — the system must only allow selecting NHFR facilities (absorbs Rev 6 L4-09).
Mark each sub-item (↳) below; Achieved is counted automatically. ★ = critical sub-item: if it is Not Met (or N/A) the criterion counts as a critical failure.
</t>
        </is>
      </c>
      <c r="F30" s="172" t="inlineStr">
        <is>
          <t>Screenshot of each field + registry / server response</t>
        </is>
      </c>
      <c r="G30" s="172" t="inlineStr">
        <is>
          <t>Validator + server-side check + Observer</t>
        </is>
      </c>
      <c r="H30" s="188" t="inlineStr">
        <is>
          <t>★ subs</t>
        </is>
      </c>
      <c r="I30" s="172" t="n">
        <v>2</v>
      </c>
      <c r="J30" s="172" t="inlineStr">
        <is>
          <t>Count</t>
        </is>
      </c>
      <c r="K30" s="192">
        <f>COUNTA(A31:A33)-COUNTIF(M31:M33,"N/A")</f>
        <v/>
      </c>
      <c r="L30" s="192">
        <f>COUNTIF(M31:M33,"Met")</f>
        <v/>
      </c>
      <c r="M30" s="192">
        <f>IF(COUNTIF(M31:M33,"N/A")=COUNTA(A31:A33),"N/A",IF(COUNTIF(M31:M33,"Not Tested")&gt;0,"Not Tested","Counted"))</f>
        <v/>
      </c>
      <c r="N30" s="191">
        <f>IF(M30="N/A",IF(H30="Yes",0,""),IF(M30="Not Tested",0,IF(J30="Tier",IF(M30="Fully integrated",1,IF(M30="Standalone - manual encoding",0.5,0)),IF(J30="Binary",IF(M30="Met",1,0),IF(M30="Counted",IF(N(K30)&gt;0,IF(J30="All-or-nothing",IF(N(L30)&gt;=K30,1,0),MIN(N(L30)/K30,1)),0),0)))))</f>
        <v/>
      </c>
      <c r="O30" s="172">
        <f>IF(COUNTIF(M31:M33,"Not Met")&gt;0,COUNTIF(M31:M33,"Not Met")&amp;" of "&amp;K30&amp;" need compliance: "&amp;_xlfn.TEXTJOIN("; ",TRUE(),U31:U33),IF(COUNTIF(M31:M33,"Not Tested")&gt;0,COUNTIF(M31:M33,"Not Tested")&amp;" of "&amp;COUNTA(A31:A33)&amp;" not yet tested",IF(M30="N/A","","All compliant")))</f>
        <v/>
      </c>
      <c r="P30" s="173" t="n"/>
      <c r="Q30" s="175">
        <f>IF(N30="",0,I30)</f>
        <v/>
      </c>
      <c r="R30" s="175">
        <f>IF(N30="",0,I30*N30)</f>
        <v/>
      </c>
      <c r="S30" s="175">
        <f>IF(OR(AND(H30="Yes",M30&lt;&gt;"Not Tested",N30&lt;&gt;"",N30&lt;1),COUNTIFS(H31:H33,"Yes",M31:M33,"Not Met")+COUNTIFS(H31:H33,"Yes",M31:M33,"N/A")&gt;0),1,0)</f>
        <v/>
      </c>
      <c r="T30" s="175" t="inlineStr">
        <is>
          <t>Criterion</t>
        </is>
      </c>
      <c r="U30" s="175" t="n"/>
      <c r="V30" s="175">
        <f>COUNTA(A31:A33)-COUNTIF(M31:M33,"Not Tested")</f>
        <v/>
      </c>
      <c r="W30" s="175">
        <f>IF(AND(T30="Criterion",I30&gt;0,M30&lt;&gt;"Not Tested",N30&lt;&gt;"",OR(N(N30)&lt;1,S30=1)),A30,"")</f>
        <v/>
      </c>
    </row>
    <row r="31" ht="29" customHeight="1" s="125">
      <c r="A31" s="193" t="inlineStr">
        <is>
          <t>TS0-06.1</t>
        </is>
      </c>
      <c r="B31" s="194" t="inlineStr">
        <is>
          <t>↳ sub-item</t>
        </is>
      </c>
      <c r="C31" s="193" t="inlineStr">
        <is>
          <t>PSGC code — Philippine Standard Geographic Code (PSA)</t>
        </is>
      </c>
      <c r="D31" s="195" t="inlineStr">
        <is>
          <t>(part of TS0-06)</t>
        </is>
      </c>
      <c r="E31" s="196" t="n"/>
      <c r="F31" s="196" t="n"/>
      <c r="G31" s="196" t="n"/>
      <c r="H31" s="188" t="inlineStr">
        <is>
          <t>Yes</t>
        </is>
      </c>
      <c r="I31" s="196" t="n"/>
      <c r="J31" s="196" t="n"/>
      <c r="K31" s="196" t="n"/>
      <c r="L31" s="196" t="n"/>
      <c r="M31" s="197" t="inlineStr">
        <is>
          <t>Not Tested</t>
        </is>
      </c>
      <c r="N31" s="196" t="n"/>
      <c r="O31" s="193">
        <f>IF(M31="Not Met","Needs compliance",IF(M31="Not Tested","Not yet tested",""))</f>
        <v/>
      </c>
      <c r="P31" s="166" t="n"/>
      <c r="T31" s="124" t="inlineStr">
        <is>
          <t>Sub</t>
        </is>
      </c>
      <c r="U31" s="124">
        <f>IF(M31="Not Met","("&amp;1&amp;") "&amp;IF(H31="Yes","★ ","")&amp;C31,"")</f>
        <v/>
      </c>
    </row>
    <row r="32" ht="56" customHeight="1" s="125">
      <c r="A32" s="193" t="inlineStr">
        <is>
          <t>TS0-06.2</t>
        </is>
      </c>
      <c r="B32" s="194" t="inlineStr">
        <is>
          <t>↳ sub-item</t>
        </is>
      </c>
      <c r="C32" s="193" t="inlineStr">
        <is>
          <t>NHFR code — National Health Facility Registry; facilities selected only from the NHFR, not free-typed (absorbs Rev 6 L4-09)</t>
        </is>
      </c>
      <c r="D32" s="195" t="inlineStr">
        <is>
          <t>(part of TS0-06)</t>
        </is>
      </c>
      <c r="E32" s="196" t="n"/>
      <c r="F32" s="196" t="n"/>
      <c r="G32" s="196" t="n"/>
      <c r="H32" s="188" t="inlineStr">
        <is>
          <t>Yes</t>
        </is>
      </c>
      <c r="I32" s="196" t="n"/>
      <c r="J32" s="196" t="n"/>
      <c r="K32" s="196" t="n"/>
      <c r="L32" s="196" t="n"/>
      <c r="M32" s="197" t="inlineStr">
        <is>
          <t>Not Tested</t>
        </is>
      </c>
      <c r="N32" s="196" t="n"/>
      <c r="O32" s="193">
        <f>IF(M32="Not Met","Needs compliance",IF(M32="Not Tested","Not yet tested",""))</f>
        <v/>
      </c>
      <c r="P32" s="166" t="n"/>
      <c r="T32" s="124" t="inlineStr">
        <is>
          <t>Sub</t>
        </is>
      </c>
      <c r="U32" s="124">
        <f>IF(M32="Not Met","("&amp;2&amp;") "&amp;IF(H32="Yes","★ ","")&amp;C32,"")</f>
        <v/>
      </c>
    </row>
    <row r="33" ht="42.5" customHeight="1" s="125">
      <c r="A33" s="193" t="inlineStr">
        <is>
          <t>TS0-06.3</t>
        </is>
      </c>
      <c r="B33" s="194" t="inlineStr">
        <is>
          <t>↳ sub-item</t>
        </is>
      </c>
      <c r="C33" s="193" t="inlineStr">
        <is>
          <t>NHWR — health worker identifier / licence no. (National Health Workforce Registry)</t>
        </is>
      </c>
      <c r="D33" s="195" t="inlineStr">
        <is>
          <t>(part of TS0-06)</t>
        </is>
      </c>
      <c r="E33" s="196" t="n"/>
      <c r="F33" s="196" t="n"/>
      <c r="G33" s="196" t="n"/>
      <c r="H33" s="188" t="n"/>
      <c r="I33" s="196" t="n"/>
      <c r="J33" s="196" t="n"/>
      <c r="K33" s="196" t="n"/>
      <c r="L33" s="196" t="n"/>
      <c r="M33" s="197" t="inlineStr">
        <is>
          <t>Not Tested</t>
        </is>
      </c>
      <c r="N33" s="196" t="n"/>
      <c r="O33" s="193">
        <f>IF(M33="Not Met","Needs compliance",IF(M33="Not Tested","Not yet tested",""))</f>
        <v/>
      </c>
      <c r="P33" s="166" t="n"/>
      <c r="T33" s="124" t="inlineStr">
        <is>
          <t>Sub</t>
        </is>
      </c>
      <c r="U33" s="124">
        <f>IF(M33="Not Met","("&amp;3&amp;") "&amp;IF(H33="Yes","★ ","")&amp;C33,"")</f>
        <v/>
      </c>
    </row>
    <row r="34" ht="301" customHeight="1" s="125">
      <c r="A34" s="172" t="inlineStr">
        <is>
          <t>TS0-07</t>
        </is>
      </c>
      <c r="B34" s="172" t="inlineStr">
        <is>
          <t>Registry</t>
        </is>
      </c>
      <c r="C34" s="172" t="inlineStr">
        <is>
          <t>Patient identifiers — PhilHealth ID and PhilSys number — are captured, validated and sent with the official PH Core identifier system, so that every patient record is linked to them (CRITICAL)</t>
        </is>
      </c>
      <c r="D34" s="172" t="inlineStr">
        <is>
          <t xml:space="preserve">For every patient: (1) provide fields for the PhilHealth ID and the PhilSys number; (2) validate the format per the PH Core IG and reject malformed values; (3) send each as Patient.identifier with the PH Core identifier system (PHCorePhilHealthID / PHCorePhilSysID); (4) where a verification service is made available for the sandbox — e.g., the PhilSys Verifier through the DSWD dxCLOUD API under an agreement with DSWD (SRC-14), or a PhilHealth service (SRC-13) — use it. If a patient genuinely has no number yet, the record may be saved with the reason recorded (e.g., "not yet registered") so it can be linked later — the system must never invent or default a number. How validation is implemented is the vendor's choice.
Purpose: Patients are expected to be linked to their PhilHealth and PhilSys numbers across the network; these identifiers are the keys for matching records and avoiding duplicates (L4-08).
</t>
        </is>
      </c>
      <c r="E34" s="172" t="inlineStr">
        <is>
          <t xml:space="preserve">For EACH identifier (sub-item):
1. Enter the Test Data value and submit; Validator (server-side) retrieves the Patient and confirms identifier.system and value match PH Core and the Test Data.
2. Enter one malformed value (e.g., wrong number of digits, or letters); the system must reject it.
3. If a verification service is available on the sandbox, confirm the system used it.
Met only if all applicable steps pass. CRITICAL — both sub-items must be Met.
Mark each sub-item (↳) below; Achieved is counted automatically.
</t>
        </is>
      </c>
      <c r="F34" s="172" t="inlineStr">
        <is>
          <t>SHR Patient resource + error screenshot for the malformed value</t>
        </is>
      </c>
      <c r="G34" s="172" t="inlineStr">
        <is>
          <t>Validator + server-side check + Observer</t>
        </is>
      </c>
      <c r="H34" s="188" t="inlineStr">
        <is>
          <t>Yes</t>
        </is>
      </c>
      <c r="I34" s="172" t="n">
        <v>2</v>
      </c>
      <c r="J34" s="172" t="inlineStr">
        <is>
          <t>Count</t>
        </is>
      </c>
      <c r="K34" s="192">
        <f>COUNTA(A35:A36)-COUNTIF(M35:M36,"N/A")</f>
        <v/>
      </c>
      <c r="L34" s="192">
        <f>COUNTIF(M35:M36,"Met")</f>
        <v/>
      </c>
      <c r="M34" s="192">
        <f>IF(COUNTIF(M35:M36,"N/A")=COUNTA(A35:A36),"N/A",IF(COUNTIF(M35:M36,"Not Tested")&gt;0,"Not Tested","Counted"))</f>
        <v/>
      </c>
      <c r="N34" s="191">
        <f>IF(M34="N/A",IF(H34="Yes",0,""),IF(M34="Not Tested",0,IF(J34="Tier",IF(M34="Fully integrated",1,IF(M34="Standalone - manual encoding",0.5,0)),IF(J34="Binary",IF(M34="Met",1,0),IF(M34="Counted",IF(N(K34)&gt;0,IF(J34="All-or-nothing",IF(N(L34)&gt;=K34,1,0),MIN(N(L34)/K34,1)),0),0)))))</f>
        <v/>
      </c>
      <c r="O34" s="172">
        <f>IF(COUNTIF(M35:M36,"Not Met")&gt;0,COUNTIF(M35:M36,"Not Met")&amp;" of "&amp;K34&amp;" need compliance: "&amp;_xlfn.TEXTJOIN("; ",TRUE(),U35:U36),IF(COUNTIF(M35:M36,"Not Tested")&gt;0,COUNTIF(M35:M36,"Not Tested")&amp;" of "&amp;COUNTA(A35:A36)&amp;" not yet tested",IF(M34="N/A","","All compliant")))</f>
        <v/>
      </c>
      <c r="P34" s="173" t="n"/>
      <c r="Q34" s="175">
        <f>IF(N34="",0,I34)</f>
        <v/>
      </c>
      <c r="R34" s="175">
        <f>IF(N34="",0,I34*N34)</f>
        <v/>
      </c>
      <c r="S34" s="175">
        <f>IF(OR(AND(H34="Yes",M34&lt;&gt;"Not Tested",N34&lt;&gt;"",N34&lt;1),COUNTIFS(H35:H36,"Yes",M35:M36,"Not Met")+COUNTIFS(H35:H36,"Yes",M35:M36,"N/A")&gt;0),1,0)</f>
        <v/>
      </c>
      <c r="T34" s="175" t="inlineStr">
        <is>
          <t>Criterion</t>
        </is>
      </c>
      <c r="U34" s="175" t="n"/>
      <c r="V34" s="175">
        <f>COUNTA(A35:A36)-COUNTIF(M35:M36,"Not Tested")</f>
        <v/>
      </c>
      <c r="W34" s="175">
        <f>IF(AND(T34="Criterion",I34&gt;0,M34&lt;&gt;"Not Tested",N34&lt;&gt;"",OR(N(N34)&lt;1,S34=1)),A34,"")</f>
        <v/>
      </c>
    </row>
    <row r="35" ht="42.5" customHeight="1" s="125">
      <c r="A35" s="193" t="inlineStr">
        <is>
          <t>TS0-07.1</t>
        </is>
      </c>
      <c r="B35" s="194" t="inlineStr">
        <is>
          <t>↳ sub-item</t>
        </is>
      </c>
      <c r="C35" s="193" t="inlineStr">
        <is>
          <t>PhilHealth ID (PhilHealth) — official identifier system, format validated, malformed value rejected</t>
        </is>
      </c>
      <c r="D35" s="195" t="inlineStr">
        <is>
          <t>(part of TS0-07)</t>
        </is>
      </c>
      <c r="E35" s="196" t="n"/>
      <c r="F35" s="196" t="n"/>
      <c r="G35" s="196" t="n"/>
      <c r="H35" s="188" t="inlineStr">
        <is>
          <t>Yes</t>
        </is>
      </c>
      <c r="I35" s="196" t="n"/>
      <c r="J35" s="196" t="n"/>
      <c r="K35" s="196" t="n"/>
      <c r="L35" s="196" t="n"/>
      <c r="M35" s="197" t="inlineStr">
        <is>
          <t>Not Tested</t>
        </is>
      </c>
      <c r="N35" s="196" t="n"/>
      <c r="O35" s="193">
        <f>IF(M35="Not Met","Needs compliance",IF(M35="Not Tested","Not yet tested",""))</f>
        <v/>
      </c>
      <c r="P35" s="166" t="n"/>
      <c r="T35" s="124" t="inlineStr">
        <is>
          <t>Sub</t>
        </is>
      </c>
      <c r="U35" s="124">
        <f>IF(M35="Not Met","("&amp;1&amp;") "&amp;IF(H35="Yes","★ ","")&amp;C35,"")</f>
        <v/>
      </c>
    </row>
    <row r="36" ht="42.5" customHeight="1" s="125">
      <c r="A36" s="193" t="inlineStr">
        <is>
          <t>TS0-07.2</t>
        </is>
      </c>
      <c r="B36" s="194" t="inlineStr">
        <is>
          <t>↳ sub-item</t>
        </is>
      </c>
      <c r="C36" s="193" t="inlineStr">
        <is>
          <t>PhilSys number (PSA) — official identifier system, format validated, malformed value rejected</t>
        </is>
      </c>
      <c r="D36" s="195" t="inlineStr">
        <is>
          <t>(part of TS0-07)</t>
        </is>
      </c>
      <c r="E36" s="196" t="n"/>
      <c r="F36" s="196" t="n"/>
      <c r="G36" s="196" t="n"/>
      <c r="H36" s="188" t="inlineStr">
        <is>
          <t>Yes</t>
        </is>
      </c>
      <c r="I36" s="196" t="n"/>
      <c r="J36" s="196" t="n"/>
      <c r="K36" s="196" t="n"/>
      <c r="L36" s="196" t="n"/>
      <c r="M36" s="197" t="inlineStr">
        <is>
          <t>Not Tested</t>
        </is>
      </c>
      <c r="N36" s="196" t="n"/>
      <c r="O36" s="193">
        <f>IF(M36="Not Met","Needs compliance",IF(M36="Not Tested","Not yet tested",""))</f>
        <v/>
      </c>
      <c r="P36" s="166" t="n"/>
      <c r="T36" s="124" t="inlineStr">
        <is>
          <t>Sub</t>
        </is>
      </c>
      <c r="U36" s="124">
        <f>IF(M36="Not Met","("&amp;2&amp;") "&amp;IF(H36="Yes","★ ","")&amp;C36,"")</f>
        <v/>
      </c>
    </row>
    <row r="37" ht="125.5" customHeight="1" s="125">
      <c r="A37" s="172" t="inlineStr">
        <is>
          <t>TS0-08</t>
        </is>
      </c>
      <c r="B37" s="172" t="inlineStr">
        <is>
          <t>Registry (optional)</t>
        </is>
      </c>
      <c r="C37" s="172" t="inlineStr">
        <is>
          <t>OPTIONAL — DSWD household / beneficiary identifier (Household No. or UBD ID) can be recorded and, where DSWD grants API access, looked up through the DSWD dxCLOUD API (SRC-15)</t>
        </is>
      </c>
      <c r="D37" s="172" t="inlineStr">
        <is>
          <t>Provide a field for the DSWD household / beneficiary identifier. Where DSWD has granted API access and a data sharing agreement is in place, the system may look it up or verify it through the DSWD dxCLOUD API (https://dxcloud.dswd.gov.ph/api/documentation — e.g., /api/person/getUBID, /api/person/verifyPantawid). Optional and not scored until the TDG defines the PH Core / PHeReF mapping.</t>
        </is>
      </c>
      <c r="E37" s="172" t="inlineStr">
        <is>
          <t>Record whether the field exists and, if DSWD API access was granted, whether a look-up works (for information only).</t>
        </is>
      </c>
      <c r="F37" s="172" t="inlineStr">
        <is>
          <t>Screenshot (optional)</t>
        </is>
      </c>
      <c r="G37" s="172" t="inlineStr">
        <is>
          <t>Validator</t>
        </is>
      </c>
      <c r="H37" s="188" t="inlineStr">
        <is>
          <t>No</t>
        </is>
      </c>
      <c r="I37" s="172" t="n">
        <v>0</v>
      </c>
      <c r="J37" s="172" t="inlineStr">
        <is>
          <t>Binary</t>
        </is>
      </c>
      <c r="K37" s="192" t="n"/>
      <c r="L37" s="192" t="n"/>
      <c r="M37" s="192" t="inlineStr">
        <is>
          <t>Not Tested</t>
        </is>
      </c>
      <c r="N37" s="191">
        <f>IF(M37="N/A",IF(H37="Yes",0,""),IF(M37="Not Tested",0,IF(J37="Tier",IF(M37="Fully integrated",1,IF(M37="Standalone - manual encoding",0.5,0)),IF(J37="Binary",IF(M37="Met",1,0),IF(M37="Counted",IF(N(K37)&gt;0,IF(J37="All-or-nothing",IF(N(L37)&gt;=K37,1,0),MIN(N(L37)/K37,1)),0),0)))))</f>
        <v/>
      </c>
      <c r="O37" s="172">
        <f>IF(M37="Not Met","Needs compliance",IF(M37="Not Tested","Not yet tested",""))</f>
        <v/>
      </c>
      <c r="P37" s="173" t="n"/>
      <c r="Q37" s="175">
        <f>IF(N37="",0,I37)</f>
        <v/>
      </c>
      <c r="R37" s="175">
        <f>IF(N37="",0,I37*N37)</f>
        <v/>
      </c>
      <c r="S37" s="175">
        <f>IF(AND(H37="Yes",M37&lt;&gt;"Not Tested",N37&lt;&gt;"",N37&lt;1),1,0)</f>
        <v/>
      </c>
      <c r="T37" s="175" t="inlineStr">
        <is>
          <t>Criterion</t>
        </is>
      </c>
      <c r="U37" s="175" t="n"/>
      <c r="V37" s="175" t="n"/>
      <c r="W37" s="175">
        <f>IF(AND(T37="Criterion",I37&gt;0,M37&lt;&gt;"Not Tested",N37&lt;&gt;"",OR(N(N37)&lt;1,S37=1)),A37,"")</f>
        <v/>
      </c>
    </row>
  </sheetData>
  <autoFilter ref="A9:P37"/>
  <mergeCells count="2">
    <mergeCell ref="A2:P2"/>
    <mergeCell ref="G4:L7"/>
  </mergeCells>
  <conditionalFormatting sqref="N10:N37">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37">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37">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1 M12 M13 M14 M16 M17 M18 M19 M20 M21 M23 M24 M25 M27 M28 M29 M31 M32 M33 M35 M36 M37"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unreleased draft · branch certificate-demo · commit e9c2d50 · built 2026-10-16 09:44 PHT</oddHeader>
    <oddFooter>&amp;C&amp;7 Page &amp;P of &amp;N</oddFooter>
    <evenHeader/>
    <evenFooter/>
    <firstHeader/>
    <firstFooter/>
  </headerFooter>
</worksheet>
</file>

<file path=xl/worksheets/sheet8.xml><?xml version="1.0" encoding="utf-8"?>
<worksheet xmlns="http://schemas.openxmlformats.org/spreadsheetml/2006/main">
  <sheetPr filterMode="0">
    <tabColor rgb="FF2E75B6"/>
    <outlinePr summaryBelow="1" summaryRight="1"/>
    <pageSetUpPr fitToPage="1"/>
  </sheetPr>
  <dimension ref="A1:W87"/>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2B — TS1 eReferral Submission by Referring Facility</t>
        </is>
      </c>
    </row>
    <row r="2" ht="48" customHeight="1" s="125">
      <c r="A2" s="174" t="inlineStr">
        <is>
          <t>The referring facility submits the Test Data referral to the Shared Health Record (SHR). Every item is verified ON THE SERVER using any one form of server-side evidence: an Interoperability Layer log (e.g., OpenHIM), an Inferno / FHIR validator report, or the raw request / response payload from the developer. Fields are grouped by FHIR resource — open the resource once and tick its fields. ★ marks critical sub-items. How the data is sent (HTTP verbs, bundle style) is the vendor's choice.</t>
        </is>
      </c>
    </row>
    <row r="3"/>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Summary!D11</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8"/>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233.5" customHeight="1" s="125">
      <c r="A10" s="172" t="inlineStr">
        <is>
          <t>TS1-01</t>
        </is>
      </c>
      <c r="B10" s="172" t="inlineStr">
        <is>
          <t>Referring facility</t>
        </is>
      </c>
      <c r="C10" s="172" t="inlineStr">
        <is>
          <t>Referring (initiating) facility details are submitted correctly</t>
        </is>
      </c>
      <c r="D10" s="172" t="inlineStr">
        <is>
          <t xml:space="preserve">Capture the fields below in the EMR and send them in the Organization (referring facility) per the PHeReF / PH Core profile. Any create / update method is accepted (transaction Bundle recommended; conditional create / update allowed) — HTTP verbs are not prescribed. What is tested is that the values reach the SHR in the profiled resource and can be retrieved.
FHIR elements: Organization.name; Organization.identifier (NHFR; HCPN); Organization.address (PSGC-coded); Organization.telecom
Source: SRC-10, SRC-11, SRC-05 (Terminology &amp; Registry Sources — Reference Guide, Ch. 4)
Purpose: The receiving facility knows exactly where the patient comes from.
</t>
        </is>
      </c>
      <c r="E10" s="172" t="inlineStr">
        <is>
          <t xml:space="preserve">1. Enter the Test Data values for this group (Test Data Section A) in the referring EMR and submit the referral.
2. Open the Organization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10" s="172" t="inlineStr">
        <is>
          <t>Server-side evidence (IOL log, Inferno / validator report, or raw payload) + resource ID</t>
        </is>
      </c>
      <c r="G10" s="172" t="inlineStr">
        <is>
          <t>Validator + server-side check + Observer</t>
        </is>
      </c>
      <c r="H10" s="188" t="inlineStr">
        <is>
          <t>★ subs</t>
        </is>
      </c>
      <c r="I10" s="172" t="n">
        <v>2</v>
      </c>
      <c r="J10" s="172" t="inlineStr">
        <is>
          <t>Count</t>
        </is>
      </c>
      <c r="K10" s="192">
        <f>COUNTA(A11:A15)-COUNTIF(M11:M15,"N/A")</f>
        <v/>
      </c>
      <c r="L10" s="192">
        <f>COUNTIF(M11:M15,"Met")</f>
        <v/>
      </c>
      <c r="M10" s="192">
        <f>IF(COUNTIF(M11:M15,"N/A")=COUNTA(A11:A15),"N/A",IF(COUNTIF(M11:M15,"Not Tested")&gt;0,"Not Tested","Counted"))</f>
        <v/>
      </c>
      <c r="N10" s="191">
        <f>IF(M10="N/A",IF(H10="Yes",0,""),IF(M10="Not Tested",0,IF(J10="Tier",IF(M10="Fully integrated",1,IF(M10="Standalone - manual encoding",0.5,0)),IF(J10="Binary",IF(M10="Met",1,0),IF(M10="Counted",IF(N(K10)&gt;0,IF(J10="All-or-nothing",IF(N(L10)&gt;=K10,1,0),MIN(N(L10)/K10,1)),0),0)))))</f>
        <v/>
      </c>
      <c r="O10" s="172">
        <f>IF(COUNTIF(M11:M15,"Not Met")&gt;0,COUNTIF(M11:M15,"Not Met")&amp;" of "&amp;K10&amp;" need compliance: "&amp;_xlfn.TEXTJOIN("; ",TRUE(),U11:U15),IF(COUNTIF(M11:M15,"Not Tested")&gt;0,COUNTIF(M11:M15,"Not Tested")&amp;" of "&amp;COUNTA(A11:A15)&amp;" not yet tested",IF(M10="N/A","","All compliant")))</f>
        <v/>
      </c>
      <c r="P10" s="173" t="n"/>
      <c r="Q10" s="175">
        <f>IF(N10="",0,I10)</f>
        <v/>
      </c>
      <c r="R10" s="175">
        <f>IF(N10="",0,I10*N10)</f>
        <v/>
      </c>
      <c r="S10" s="175">
        <f>IF(OR(AND(H10="Yes",M10&lt;&gt;"Not Tested",N10&lt;&gt;"",N10&lt;1),COUNTIFS(H11:H15,"Yes",M11:M15,"Not Met")+COUNTIFS(H11:H15,"Yes",M11:M15,"N/A")&gt;0),1,0)</f>
        <v/>
      </c>
      <c r="T10" s="175" t="inlineStr">
        <is>
          <t>Criterion</t>
        </is>
      </c>
      <c r="U10" s="175" t="n"/>
      <c r="V10" s="175">
        <f>COUNTA(A11:A15)-COUNTIF(M11:M15,"Not Tested")</f>
        <v/>
      </c>
      <c r="W10" s="175">
        <f>IF(AND(T10="Criterion",I10&gt;0,M10&lt;&gt;"Not Tested",N10&lt;&gt;"",OR(N(N10)&lt;1,S10=1)),A10,"")</f>
        <v/>
      </c>
    </row>
    <row r="11" ht="29" customHeight="1" s="125">
      <c r="A11" s="193" t="inlineStr">
        <is>
          <t>TS1-01.1</t>
        </is>
      </c>
      <c r="B11" s="194" t="inlineStr">
        <is>
          <t>↳ sub-item</t>
        </is>
      </c>
      <c r="C11" s="193" t="inlineStr">
        <is>
          <t>HCPN name — Organization.identifier (HCPN)</t>
        </is>
      </c>
      <c r="D11" s="195" t="inlineStr">
        <is>
          <t>(part of TS1-01)</t>
        </is>
      </c>
      <c r="E11" s="196" t="n"/>
      <c r="F11" s="196" t="n"/>
      <c r="G11" s="196" t="n"/>
      <c r="H11" s="196" t="n"/>
      <c r="I11" s="196" t="n"/>
      <c r="J11" s="196" t="n"/>
      <c r="K11" s="196" t="n"/>
      <c r="L11" s="196" t="n"/>
      <c r="M11" s="197" t="inlineStr">
        <is>
          <t>Not Tested</t>
        </is>
      </c>
      <c r="N11" s="196" t="n"/>
      <c r="O11" s="193">
        <f>IF(M11="Not Met","Needs compliance",IF(M11="Not Tested","Not yet tested",""))</f>
        <v/>
      </c>
      <c r="P11" s="166" t="n"/>
      <c r="T11" s="124" t="inlineStr">
        <is>
          <t>Sub</t>
        </is>
      </c>
      <c r="U11" s="124">
        <f>IF(M11="Not Met","("&amp;1&amp;") "&amp;IF(H11="Yes","★ ","")&amp;C11,"")</f>
        <v/>
      </c>
    </row>
    <row r="12" ht="15.5" customHeight="1" s="125">
      <c r="A12" s="193" t="inlineStr">
        <is>
          <t>TS1-01.2</t>
        </is>
      </c>
      <c r="B12" s="194" t="inlineStr">
        <is>
          <t>↳ sub-item</t>
        </is>
      </c>
      <c r="C12" s="193" t="inlineStr">
        <is>
          <t>Facility name — Organization.name</t>
        </is>
      </c>
      <c r="D12" s="195" t="inlineStr">
        <is>
          <t>(part of TS1-01)</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Met","("&amp;2&amp;") "&amp;IF(H12="Yes","★ ","")&amp;C12,"")</f>
        <v/>
      </c>
    </row>
    <row r="13" ht="29" customHeight="1" s="125">
      <c r="A13" s="193" t="inlineStr">
        <is>
          <t>TS1-01.3</t>
        </is>
      </c>
      <c r="B13" s="194" t="inlineStr">
        <is>
          <t>↳ sub-item</t>
        </is>
      </c>
      <c r="C13" s="193" t="inlineStr">
        <is>
          <t>NHFR code — Organization.identifier (NHFR)</t>
        </is>
      </c>
      <c r="D13" s="195" t="inlineStr">
        <is>
          <t>(part of TS1-01)</t>
        </is>
      </c>
      <c r="E13" s="196" t="n"/>
      <c r="F13" s="196" t="n"/>
      <c r="G13" s="196" t="n"/>
      <c r="H13" s="196" t="inlineStr">
        <is>
          <t>Yes</t>
        </is>
      </c>
      <c r="I13" s="196" t="n"/>
      <c r="J13" s="196" t="n"/>
      <c r="K13" s="196" t="n"/>
      <c r="L13" s="196" t="n"/>
      <c r="M13" s="197" t="inlineStr">
        <is>
          <t>Not Tested</t>
        </is>
      </c>
      <c r="N13" s="196" t="n"/>
      <c r="O13" s="193">
        <f>IF(M13="Not Met","Needs compliance",IF(M13="Not Tested","Not yet tested",""))</f>
        <v/>
      </c>
      <c r="P13" s="166" t="n"/>
      <c r="T13" s="124" t="inlineStr">
        <is>
          <t>Sub</t>
        </is>
      </c>
      <c r="U13" s="124">
        <f>IF(M13="Not Met","("&amp;3&amp;") "&amp;IF(H13="Yes","★ ","")&amp;C13,"")</f>
        <v/>
      </c>
    </row>
    <row r="14" ht="29" customHeight="1" s="125">
      <c r="A14" s="193" t="inlineStr">
        <is>
          <t>TS1-01.4</t>
        </is>
      </c>
      <c r="B14" s="194" t="inlineStr">
        <is>
          <t>↳ sub-item</t>
        </is>
      </c>
      <c r="C14" s="193" t="inlineStr">
        <is>
          <t>Address, PSGC-coded — Organization.address</t>
        </is>
      </c>
      <c r="D14" s="195" t="inlineStr">
        <is>
          <t>(part of TS1-01)</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Met","("&amp;4&amp;") "&amp;IF(H14="Yes","★ ","")&amp;C14,"")</f>
        <v/>
      </c>
    </row>
    <row r="15" ht="15.5" customHeight="1" s="125">
      <c r="A15" s="193" t="inlineStr">
        <is>
          <t>TS1-01.5</t>
        </is>
      </c>
      <c r="B15" s="194" t="inlineStr">
        <is>
          <t>↳ sub-item</t>
        </is>
      </c>
      <c r="C15" s="193" t="inlineStr">
        <is>
          <t>Contact number — Organization.telecom</t>
        </is>
      </c>
      <c r="D15" s="195" t="inlineStr">
        <is>
          <t>(part of TS1-01)</t>
        </is>
      </c>
      <c r="E15" s="196" t="n"/>
      <c r="F15" s="196" t="n"/>
      <c r="G15" s="196" t="n"/>
      <c r="H15" s="196" t="n"/>
      <c r="I15" s="196" t="n"/>
      <c r="J15" s="196" t="n"/>
      <c r="K15" s="196" t="n"/>
      <c r="L15" s="196" t="n"/>
      <c r="M15" s="197" t="inlineStr">
        <is>
          <t>Not Tested</t>
        </is>
      </c>
      <c r="N15" s="196" t="n"/>
      <c r="O15" s="193">
        <f>IF(M15="Not Met","Needs compliance",IF(M15="Not Tested","Not yet tested",""))</f>
        <v/>
      </c>
      <c r="P15" s="166" t="n"/>
      <c r="T15" s="124" t="inlineStr">
        <is>
          <t>Sub</t>
        </is>
      </c>
      <c r="U15" s="124">
        <f>IF(M15="Not Met","("&amp;5&amp;") "&amp;IF(H15="Yes","★ ","")&amp;C15,"")</f>
        <v/>
      </c>
    </row>
    <row r="16" ht="247" customHeight="1" s="125">
      <c r="A16" s="172" t="inlineStr">
        <is>
          <t>TS1-02</t>
        </is>
      </c>
      <c r="B16" s="172" t="inlineStr">
        <is>
          <t>Receiving facility</t>
        </is>
      </c>
      <c r="C16" s="172" t="inlineStr">
        <is>
          <t>Receiving facility details are submitted correctly</t>
        </is>
      </c>
      <c r="D16" s="172" t="inlineStr">
        <is>
          <t xml:space="preserve">Capture the fields below in the EMR and send them in the Organization (receiving facility) per the PHeReF / PH Core profile. Any create / update method is accepted (transaction Bundle recommended; conditional create / update allowed) — HTTP verbs are not prescribed. What is tested is that the values reach the SHR in the profiled resource and can be retrieved.
FHIR elements: Organization.name; Organization.identifier (NHFR); Organization.address — referenced from ServiceRequest.performer / Task.owner
Source: SRC-10, SRC-11 (Terminology &amp; Registry Sources — Reference Guide, Ch. 4)
Purpose: The referral is addressed to the right facility so it appears in that facility's incoming list.
</t>
        </is>
      </c>
      <c r="E16" s="172" t="inlineStr">
        <is>
          <t xml:space="preserve">1. Enter the Test Data values for this group (Test Data Section A) in the referring EMR and submit the referral.
2. Open the Organization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16" s="172" t="inlineStr">
        <is>
          <t>Server-side evidence (IOL log, Inferno / validator report, or raw payload) + resource ID</t>
        </is>
      </c>
      <c r="G16" s="172" t="inlineStr">
        <is>
          <t>Validator + server-side check + Observer</t>
        </is>
      </c>
      <c r="H16" s="188" t="inlineStr">
        <is>
          <t>★ subs</t>
        </is>
      </c>
      <c r="I16" s="172" t="n">
        <v>2</v>
      </c>
      <c r="J16" s="172" t="inlineStr">
        <is>
          <t>Count</t>
        </is>
      </c>
      <c r="K16" s="192">
        <f>COUNTA(A17:A19)-COUNTIF(M17:M19,"N/A")</f>
        <v/>
      </c>
      <c r="L16" s="192">
        <f>COUNTIF(M17:M19,"Met")</f>
        <v/>
      </c>
      <c r="M16" s="192">
        <f>IF(COUNTIF(M17:M19,"N/A")=COUNTA(A17:A19),"N/A",IF(COUNTIF(M17:M19,"Not Tested")&gt;0,"Not Tested","Counted"))</f>
        <v/>
      </c>
      <c r="N16" s="191">
        <f>IF(M16="N/A",IF(H16="Yes",0,""),IF(M16="Not Tested",0,IF(J16="Tier",IF(M16="Fully integrated",1,IF(M16="Standalone - manual encoding",0.5,0)),IF(J16="Binary",IF(M16="Met",1,0),IF(M16="Counted",IF(N(K16)&gt;0,IF(J16="All-or-nothing",IF(N(L16)&gt;=K16,1,0),MIN(N(L16)/K16,1)),0),0)))))</f>
        <v/>
      </c>
      <c r="O16" s="172">
        <f>IF(COUNTIF(M17:M19,"Not Met")&gt;0,COUNTIF(M17:M19,"Not Met")&amp;" of "&amp;K16&amp;" need compliance: "&amp;_xlfn.TEXTJOIN("; ",TRUE(),U17:U19),IF(COUNTIF(M17:M19,"Not Tested")&gt;0,COUNTIF(M17:M19,"Not Tested")&amp;" of "&amp;COUNTA(A17:A19)&amp;" not yet tested",IF(M16="N/A","","All compliant")))</f>
        <v/>
      </c>
      <c r="P16" s="173" t="n"/>
      <c r="Q16" s="175">
        <f>IF(N16="",0,I16)</f>
        <v/>
      </c>
      <c r="R16" s="175">
        <f>IF(N16="",0,I16*N16)</f>
        <v/>
      </c>
      <c r="S16" s="175">
        <f>IF(OR(AND(H16="Yes",M16&lt;&gt;"Not Tested",N16&lt;&gt;"",N16&lt;1),COUNTIFS(H17:H19,"Yes",M17:M19,"Not Met")+COUNTIFS(H17:H19,"Yes",M17:M19,"N/A")&gt;0),1,0)</f>
        <v/>
      </c>
      <c r="T16" s="175" t="inlineStr">
        <is>
          <t>Criterion</t>
        </is>
      </c>
      <c r="U16" s="175" t="n"/>
      <c r="V16" s="175">
        <f>COUNTA(A17:A19)-COUNTIF(M17:M19,"Not Tested")</f>
        <v/>
      </c>
      <c r="W16" s="175">
        <f>IF(AND(T16="Criterion",I16&gt;0,M16&lt;&gt;"Not Tested",N16&lt;&gt;"",OR(N(N16)&lt;1,S16=1)),A16,"")</f>
        <v/>
      </c>
    </row>
    <row r="17" ht="15.5" customHeight="1" s="125">
      <c r="A17" s="193" t="inlineStr">
        <is>
          <t>TS1-02.1</t>
        </is>
      </c>
      <c r="B17" s="194" t="inlineStr">
        <is>
          <t>↳ sub-item</t>
        </is>
      </c>
      <c r="C17" s="193" t="inlineStr">
        <is>
          <t>Facility name — Organization.name</t>
        </is>
      </c>
      <c r="D17" s="195" t="inlineStr">
        <is>
          <t>(part of TS1-02)</t>
        </is>
      </c>
      <c r="E17" s="196" t="n"/>
      <c r="F17" s="196" t="n"/>
      <c r="G17" s="196" t="n"/>
      <c r="H17" s="196" t="n"/>
      <c r="I17" s="196" t="n"/>
      <c r="J17" s="196" t="n"/>
      <c r="K17" s="196" t="n"/>
      <c r="L17" s="196" t="n"/>
      <c r="M17" s="197" t="inlineStr">
        <is>
          <t>Not Tested</t>
        </is>
      </c>
      <c r="N17" s="196" t="n"/>
      <c r="O17" s="193">
        <f>IF(M17="Not Met","Needs compliance",IF(M17="Not Tested","Not yet tested",""))</f>
        <v/>
      </c>
      <c r="P17" s="166" t="n"/>
      <c r="T17" s="124" t="inlineStr">
        <is>
          <t>Sub</t>
        </is>
      </c>
      <c r="U17" s="124">
        <f>IF(M17="Not Met","("&amp;1&amp;") "&amp;IF(H17="Yes","★ ","")&amp;C17,"")</f>
        <v/>
      </c>
    </row>
    <row r="18" ht="29" customHeight="1" s="125">
      <c r="A18" s="193" t="inlineStr">
        <is>
          <t>TS1-02.2</t>
        </is>
      </c>
      <c r="B18" s="194" t="inlineStr">
        <is>
          <t>↳ sub-item</t>
        </is>
      </c>
      <c r="C18" s="193" t="inlineStr">
        <is>
          <t>NHFR code — Organization.identifier (NHFR)</t>
        </is>
      </c>
      <c r="D18" s="195" t="inlineStr">
        <is>
          <t>(part of TS1-02)</t>
        </is>
      </c>
      <c r="E18" s="196" t="n"/>
      <c r="F18" s="196" t="n"/>
      <c r="G18" s="196" t="n"/>
      <c r="H18" s="196" t="inlineStr">
        <is>
          <t>Yes</t>
        </is>
      </c>
      <c r="I18" s="196" t="n"/>
      <c r="J18" s="196" t="n"/>
      <c r="K18" s="196" t="n"/>
      <c r="L18" s="196" t="n"/>
      <c r="M18" s="197" t="inlineStr">
        <is>
          <t>Not Tested</t>
        </is>
      </c>
      <c r="N18" s="196" t="n"/>
      <c r="O18" s="193">
        <f>IF(M18="Not Met","Needs compliance",IF(M18="Not Tested","Not yet tested",""))</f>
        <v/>
      </c>
      <c r="P18" s="166" t="n"/>
      <c r="T18" s="124" t="inlineStr">
        <is>
          <t>Sub</t>
        </is>
      </c>
      <c r="U18" s="124">
        <f>IF(M18="Not Met","("&amp;2&amp;") "&amp;IF(H18="Yes","★ ","")&amp;C18,"")</f>
        <v/>
      </c>
    </row>
    <row r="19" ht="29" customHeight="1" s="125">
      <c r="A19" s="193" t="inlineStr">
        <is>
          <t>TS1-02.3</t>
        </is>
      </c>
      <c r="B19" s="194" t="inlineStr">
        <is>
          <t>↳ sub-item</t>
        </is>
      </c>
      <c r="C19" s="193" t="inlineStr">
        <is>
          <t>Address, PSGC-coded — Organization.address</t>
        </is>
      </c>
      <c r="D19" s="195" t="inlineStr">
        <is>
          <t>(part of TS1-02)</t>
        </is>
      </c>
      <c r="E19" s="196" t="n"/>
      <c r="F19" s="196" t="n"/>
      <c r="G19" s="196" t="n"/>
      <c r="H19" s="196" t="n"/>
      <c r="I19" s="196" t="n"/>
      <c r="J19" s="196" t="n"/>
      <c r="K19" s="196" t="n"/>
      <c r="L19" s="196" t="n"/>
      <c r="M19" s="197" t="inlineStr">
        <is>
          <t>Not Tested</t>
        </is>
      </c>
      <c r="N19" s="196" t="n"/>
      <c r="O19" s="193">
        <f>IF(M19="Not Met","Needs compliance",IF(M19="Not Tested","Not yet tested",""))</f>
        <v/>
      </c>
      <c r="P19" s="166" t="n"/>
      <c r="T19" s="124" t="inlineStr">
        <is>
          <t>Sub</t>
        </is>
      </c>
      <c r="U19" s="124">
        <f>IF(M19="Not Met","("&amp;3&amp;") "&amp;IF(H19="Yes","★ ","")&amp;C19,"")</f>
        <v/>
      </c>
    </row>
    <row r="20" ht="274" customHeight="1" s="125">
      <c r="A20" s="172" t="inlineStr">
        <is>
          <t>TS1-03</t>
        </is>
      </c>
      <c r="B20" s="172" t="inlineStr">
        <is>
          <t>Referring practitioner</t>
        </is>
      </c>
      <c r="C20" s="172" t="inlineStr">
        <is>
          <t>Referring practitioner (and care navigator, if assigned) is submitted correctly and linked as the requester</t>
        </is>
      </c>
      <c r="D20" s="172" t="inlineStr">
        <is>
          <t xml:space="preserve">Capture the fields below in the EMR and send them in the PractitionerRole + Practitioner (referring facility) per the PHeReF / PH Core profile. Any create / update method is accepted (transaction Bundle recommended; conditional create / update allowed) — HTTP verbs are not prescribed. What is tested is that the values reach the SHR in the profiled resource and can be retrieved.
FHIR elements: Practitioner.name; PractitionerRole.code (Practitioner Role VS); referenced by ServiceRequest.requester and Task.requester. A care navigator at the referring facility, where assigned, is a separate PractitionerRole (role code from the Practitioner Role VS).
Source: SRC-01, SRC-12 (Terminology &amp; Registry Sources — Reference Guide, Ch. 4)
Purpose: The receiving facility knows who is accountable for the referral and whom to call back.
</t>
        </is>
      </c>
      <c r="E20" s="172" t="inlineStr">
        <is>
          <t xml:space="preserve">1. Enter the Test Data values for this group (Test Data Section A) in the referring EMR and submit the referral.
2. Open the PractitionerRole + Practitioner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20" s="172" t="inlineStr">
        <is>
          <t>Server-side evidence (IOL log, Inferno / validator report, or raw payload) + resource ID</t>
        </is>
      </c>
      <c r="G20" s="172" t="inlineStr">
        <is>
          <t>Validator + server-side check + Observer</t>
        </is>
      </c>
      <c r="H20" s="188" t="inlineStr">
        <is>
          <t>★ subs</t>
        </is>
      </c>
      <c r="I20" s="172" t="n">
        <v>2</v>
      </c>
      <c r="J20" s="172" t="inlineStr">
        <is>
          <t>Count</t>
        </is>
      </c>
      <c r="K20" s="192">
        <f>COUNTA(A21:A24)-COUNTIF(M21:M24,"N/A")</f>
        <v/>
      </c>
      <c r="L20" s="192">
        <f>COUNTIF(M21:M24,"Met")</f>
        <v/>
      </c>
      <c r="M20" s="192">
        <f>IF(COUNTIF(M21:M24,"N/A")=COUNTA(A21:A24),"N/A",IF(COUNTIF(M21:M24,"Not Tested")&gt;0,"Not Tested","Counted"))</f>
        <v/>
      </c>
      <c r="N20" s="191">
        <f>IF(M20="N/A",IF(H20="Yes",0,""),IF(M20="Not Tested",0,IF(J20="Tier",IF(M20="Fully integrated",1,IF(M20="Standalone - manual encoding",0.5,0)),IF(J20="Binary",IF(M20="Met",1,0),IF(M20="Counted",IF(N(K20)&gt;0,IF(J20="All-or-nothing",IF(N(L20)&gt;=K20,1,0),MIN(N(L20)/K20,1)),0),0)))))</f>
        <v/>
      </c>
      <c r="O20" s="172">
        <f>IF(COUNTIF(M21:M24,"Not Met")&gt;0,COUNTIF(M21:M24,"Not Met")&amp;" of "&amp;K20&amp;" need compliance: "&amp;_xlfn.TEXTJOIN("; ",TRUE(),U21:U24),IF(COUNTIF(M21:M24,"Not Tested")&gt;0,COUNTIF(M21:M24,"Not Tested")&amp;" of "&amp;COUNTA(A21:A24)&amp;" not yet tested",IF(M20="N/A","","All compliant")))</f>
        <v/>
      </c>
      <c r="P20" s="173" t="n"/>
      <c r="Q20" s="175">
        <f>IF(N20="",0,I20)</f>
        <v/>
      </c>
      <c r="R20" s="175">
        <f>IF(N20="",0,I20*N20)</f>
        <v/>
      </c>
      <c r="S20" s="175">
        <f>IF(OR(AND(H20="Yes",M20&lt;&gt;"Not Tested",N20&lt;&gt;"",N20&lt;1),COUNTIFS(H21:H24,"Yes",M21:M24,"Not Met")+COUNTIFS(H21:H24,"Yes",M21:M24,"N/A")&gt;0),1,0)</f>
        <v/>
      </c>
      <c r="T20" s="175" t="inlineStr">
        <is>
          <t>Criterion</t>
        </is>
      </c>
      <c r="U20" s="175" t="n"/>
      <c r="V20" s="175">
        <f>COUNTA(A21:A24)-COUNTIF(M21:M24,"Not Tested")</f>
        <v/>
      </c>
      <c r="W20" s="175">
        <f>IF(AND(T20="Criterion",I20&gt;0,M20&lt;&gt;"Not Tested",N20&lt;&gt;"",OR(N(N20)&lt;1,S20=1)),A20,"")</f>
        <v/>
      </c>
    </row>
    <row r="21" ht="29" customHeight="1" s="125">
      <c r="A21" s="193" t="inlineStr">
        <is>
          <t>TS1-03.1</t>
        </is>
      </c>
      <c r="B21" s="194" t="inlineStr">
        <is>
          <t>↳ sub-item</t>
        </is>
      </c>
      <c r="C21" s="193" t="inlineStr">
        <is>
          <t>Name of referring practitioner — Practitioner.name</t>
        </is>
      </c>
      <c r="D21" s="195" t="inlineStr">
        <is>
          <t>(part of TS1-03)</t>
        </is>
      </c>
      <c r="E21" s="196" t="n"/>
      <c r="F21" s="196" t="n"/>
      <c r="G21" s="196" t="n"/>
      <c r="H21" s="196" t="n"/>
      <c r="I21" s="196" t="n"/>
      <c r="J21" s="196" t="n"/>
      <c r="K21" s="196" t="n"/>
      <c r="L21" s="196" t="n"/>
      <c r="M21" s="197" t="inlineStr">
        <is>
          <t>Not Tested</t>
        </is>
      </c>
      <c r="N21" s="196" t="n"/>
      <c r="O21" s="193">
        <f>IF(M21="Not Met","Needs compliance",IF(M21="Not Tested","Not yet tested",""))</f>
        <v/>
      </c>
      <c r="P21" s="166" t="n"/>
      <c r="T21" s="124" t="inlineStr">
        <is>
          <t>Sub</t>
        </is>
      </c>
      <c r="U21" s="124">
        <f>IF(M21="Not Met","("&amp;1&amp;") "&amp;IF(H21="Yes","★ ","")&amp;C21,"")</f>
        <v/>
      </c>
    </row>
    <row r="22" ht="29" customHeight="1" s="125">
      <c r="A22" s="193" t="inlineStr">
        <is>
          <t>TS1-03.2</t>
        </is>
      </c>
      <c r="B22" s="194" t="inlineStr">
        <is>
          <t>↳ sub-item</t>
        </is>
      </c>
      <c r="C22" s="193" t="inlineStr">
        <is>
          <t>Practitioner role — PractitionerRole.code</t>
        </is>
      </c>
      <c r="D22" s="195" t="inlineStr">
        <is>
          <t>(part of TS1-03)</t>
        </is>
      </c>
      <c r="E22" s="196" t="n"/>
      <c r="F22" s="196" t="n"/>
      <c r="G22" s="196" t="n"/>
      <c r="H22" s="196" t="inlineStr">
        <is>
          <t>Yes</t>
        </is>
      </c>
      <c r="I22" s="196" t="n"/>
      <c r="J22" s="196" t="n"/>
      <c r="K22" s="196" t="n"/>
      <c r="L22" s="196" t="n"/>
      <c r="M22" s="197" t="inlineStr">
        <is>
          <t>Not Tested</t>
        </is>
      </c>
      <c r="N22" s="196" t="n"/>
      <c r="O22" s="193">
        <f>IF(M22="Not Met","Needs compliance",IF(M22="Not Tested","Not yet tested",""))</f>
        <v/>
      </c>
      <c r="P22" s="166" t="n"/>
      <c r="T22" s="124" t="inlineStr">
        <is>
          <t>Sub</t>
        </is>
      </c>
      <c r="U22" s="124">
        <f>IF(M22="Not Met","("&amp;2&amp;") "&amp;IF(H22="Yes","★ ","")&amp;C22,"")</f>
        <v/>
      </c>
    </row>
    <row r="23" ht="56" customHeight="1" s="125">
      <c r="A23" s="193" t="inlineStr">
        <is>
          <t>TS1-03.3</t>
        </is>
      </c>
      <c r="B23" s="194" t="inlineStr">
        <is>
          <t>↳ sub-item</t>
        </is>
      </c>
      <c r="C23" s="193" t="inlineStr">
        <is>
          <t>Care navigator at the referring facility, if assigned — separate PractitionerRole (N/A if the facility does not assign one)</t>
        </is>
      </c>
      <c r="D23" s="195" t="inlineStr">
        <is>
          <t>(part of TS1-03)</t>
        </is>
      </c>
      <c r="E23" s="196" t="n"/>
      <c r="F23" s="196" t="n"/>
      <c r="G23" s="196" t="n"/>
      <c r="H23" s="196" t="n"/>
      <c r="I23" s="196" t="n"/>
      <c r="J23" s="196" t="n"/>
      <c r="K23" s="196" t="n"/>
      <c r="L23" s="196" t="n"/>
      <c r="M23" s="197" t="inlineStr">
        <is>
          <t>Not Tested</t>
        </is>
      </c>
      <c r="N23" s="196" t="n"/>
      <c r="O23" s="193">
        <f>IF(M23="Not Met","Needs compliance",IF(M23="Not Tested","Not yet tested",""))</f>
        <v/>
      </c>
      <c r="P23" s="166" t="n"/>
      <c r="T23" s="124" t="inlineStr">
        <is>
          <t>Sub</t>
        </is>
      </c>
      <c r="U23" s="124">
        <f>IF(M23="Not Met","("&amp;3&amp;") "&amp;IF(H23="Yes","★ ","")&amp;C23,"")</f>
        <v/>
      </c>
    </row>
    <row r="24" ht="42.5" customHeight="1" s="125">
      <c r="A24" s="193" t="inlineStr">
        <is>
          <t>TS1-03.4</t>
        </is>
      </c>
      <c r="B24" s="194" t="inlineStr">
        <is>
          <t>↳ sub-item</t>
        </is>
      </c>
      <c r="C24" s="193" t="inlineStr">
        <is>
          <t>Referring practitioner is the requester of the ServiceRequest and the Task (not the receiving practitioner)</t>
        </is>
      </c>
      <c r="D24" s="195" t="inlineStr">
        <is>
          <t>(part of TS1-03)</t>
        </is>
      </c>
      <c r="E24" s="196" t="n"/>
      <c r="F24" s="196" t="n"/>
      <c r="G24" s="196" t="n"/>
      <c r="H24" s="196" t="inlineStr">
        <is>
          <t>Yes</t>
        </is>
      </c>
      <c r="I24" s="196" t="n"/>
      <c r="J24" s="196" t="n"/>
      <c r="K24" s="196" t="n"/>
      <c r="L24" s="196" t="n"/>
      <c r="M24" s="197" t="inlineStr">
        <is>
          <t>Not Tested</t>
        </is>
      </c>
      <c r="N24" s="196" t="n"/>
      <c r="O24" s="193">
        <f>IF(M24="Not Met","Needs compliance",IF(M24="Not Tested","Not yet tested",""))</f>
        <v/>
      </c>
      <c r="P24" s="166" t="n"/>
      <c r="T24" s="124" t="inlineStr">
        <is>
          <t>Sub</t>
        </is>
      </c>
      <c r="U24" s="124">
        <f>IF(M24="Not Met","("&amp;4&amp;") "&amp;IF(H24="Yes","★ ","")&amp;C24,"")</f>
        <v/>
      </c>
    </row>
    <row r="25" ht="287.5" customHeight="1" s="125">
      <c r="A25" s="172" t="inlineStr">
        <is>
          <t>TS1-04</t>
        </is>
      </c>
      <c r="B25" s="172" t="inlineStr">
        <is>
          <t>Patient</t>
        </is>
      </c>
      <c r="C25" s="172" t="inlineStr">
        <is>
          <t>Patient demographics and identifiers are submitted correctly</t>
        </is>
      </c>
      <c r="D25" s="172" t="inlineStr">
        <is>
          <t xml:space="preserve">Capture the fields below in the EMR and send them in the Patient (ERefPatient / PH Core Patient) per the PHeReF / PH Core profile. Any create / update method is accepted (transaction Bundle recommended; conditional create / update allowed) — HTTP verbs are not prescribed. What is tested is that the values reach the SHR in the profiled resource and can be retrieved.
FHIR elements: Patient.name; Patient.identifier (PH Core PhilSys and PhilHealth slices); Patient.birthDate; Patient.gender; Patient.maritalStatus; Patient.address (PSGC-coded); Patient.telecom; PWD Disability Registration extension. Age is NOT sent — the receiving system computes it from birthDate (checked in TS2-04).
Source: SRC-05, SRC-10, SRC-13, SRC-14 (Terminology &amp; Registry Sources — Reference Guide, Ch. 4)
Purpose: The patient is identified unambiguously across facilities.
</t>
        </is>
      </c>
      <c r="E25" s="172" t="inlineStr">
        <is>
          <t xml:space="preserve">1. Enter the Test Data values for this group (Test Data Section A) in the referring EMR and submit the referral.
2. Open the Patient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25" s="172" t="inlineStr">
        <is>
          <t>Server-side evidence (IOL log, Inferno / validator report, or raw payload) + resource ID</t>
        </is>
      </c>
      <c r="G25" s="172" t="inlineStr">
        <is>
          <t>Validator + server-side check + Observer</t>
        </is>
      </c>
      <c r="H25" s="188" t="inlineStr">
        <is>
          <t>★ subs</t>
        </is>
      </c>
      <c r="I25" s="172" t="n">
        <v>2</v>
      </c>
      <c r="J25" s="172" t="inlineStr">
        <is>
          <t>Count</t>
        </is>
      </c>
      <c r="K25" s="192">
        <f>COUNTA(A26:A34)-COUNTIF(M26:M34,"N/A")</f>
        <v/>
      </c>
      <c r="L25" s="192">
        <f>COUNTIF(M26:M34,"Met")</f>
        <v/>
      </c>
      <c r="M25" s="192">
        <f>IF(COUNTIF(M26:M34,"N/A")=COUNTA(A26:A34),"N/A",IF(COUNTIF(M26:M34,"Not Tested")&gt;0,"Not Tested","Counted"))</f>
        <v/>
      </c>
      <c r="N25" s="191">
        <f>IF(M25="N/A",IF(H25="Yes",0,""),IF(M25="Not Tested",0,IF(J25="Tier",IF(M25="Fully integrated",1,IF(M25="Standalone - manual encoding",0.5,0)),IF(J25="Binary",IF(M25="Met",1,0),IF(M25="Counted",IF(N(K25)&gt;0,IF(J25="All-or-nothing",IF(N(L25)&gt;=K25,1,0),MIN(N(L25)/K25,1)),0),0)))))</f>
        <v/>
      </c>
      <c r="O25" s="172">
        <f>IF(COUNTIF(M26:M34,"Not Met")&gt;0,COUNTIF(M26:M34,"Not Met")&amp;" of "&amp;K25&amp;" need compliance: "&amp;_xlfn.TEXTJOIN("; ",TRUE(),U26:U34),IF(COUNTIF(M26:M34,"Not Tested")&gt;0,COUNTIF(M26:M34,"Not Tested")&amp;" of "&amp;COUNTA(A26:A34)&amp;" not yet tested",IF(M25="N/A","","All compliant")))</f>
        <v/>
      </c>
      <c r="P25" s="173" t="n"/>
      <c r="Q25" s="175">
        <f>IF(N25="",0,I25)</f>
        <v/>
      </c>
      <c r="R25" s="175">
        <f>IF(N25="",0,I25*N25)</f>
        <v/>
      </c>
      <c r="S25" s="175">
        <f>IF(OR(AND(H25="Yes",M25&lt;&gt;"Not Tested",N25&lt;&gt;"",N25&lt;1),COUNTIFS(H26:H34,"Yes",M26:M34,"Not Met")+COUNTIFS(H26:H34,"Yes",M26:M34,"N/A")&gt;0),1,0)</f>
        <v/>
      </c>
      <c r="T25" s="175" t="inlineStr">
        <is>
          <t>Criterion</t>
        </is>
      </c>
      <c r="U25" s="175" t="n"/>
      <c r="V25" s="175">
        <f>COUNTA(A26:A34)-COUNTIF(M26:M34,"Not Tested")</f>
        <v/>
      </c>
      <c r="W25" s="175">
        <f>IF(AND(T25="Criterion",I25&gt;0,M25&lt;&gt;"Not Tested",N25&lt;&gt;"",OR(N(N25)&lt;1,S25=1)),A25,"")</f>
        <v/>
      </c>
    </row>
    <row r="26" ht="15.5" customHeight="1" s="125">
      <c r="A26" s="193" t="inlineStr">
        <is>
          <t>TS1-04.1</t>
        </is>
      </c>
      <c r="B26" s="194" t="inlineStr">
        <is>
          <t>↳ sub-item</t>
        </is>
      </c>
      <c r="C26" s="193" t="inlineStr">
        <is>
          <t>Full name — Patient.name</t>
        </is>
      </c>
      <c r="D26" s="195" t="inlineStr">
        <is>
          <t>(part of TS1-04)</t>
        </is>
      </c>
      <c r="E26" s="196" t="n"/>
      <c r="F26" s="196" t="n"/>
      <c r="G26" s="196" t="n"/>
      <c r="H26" s="196" t="n"/>
      <c r="I26" s="196" t="n"/>
      <c r="J26" s="196" t="n"/>
      <c r="K26" s="196" t="n"/>
      <c r="L26" s="196" t="n"/>
      <c r="M26" s="197" t="inlineStr">
        <is>
          <t>Not Tested</t>
        </is>
      </c>
      <c r="N26" s="196" t="n"/>
      <c r="O26" s="193">
        <f>IF(M26="Not Met","Needs compliance",IF(M26="Not Tested","Not yet tested",""))</f>
        <v/>
      </c>
      <c r="P26" s="166" t="n"/>
      <c r="T26" s="124" t="inlineStr">
        <is>
          <t>Sub</t>
        </is>
      </c>
      <c r="U26" s="124">
        <f>IF(M26="Not Met","("&amp;1&amp;") "&amp;IF(H26="Yes","★ ","")&amp;C26,"")</f>
        <v/>
      </c>
    </row>
    <row r="27" ht="29" customHeight="1" s="125">
      <c r="A27" s="193" t="inlineStr">
        <is>
          <t>TS1-04.2</t>
        </is>
      </c>
      <c r="B27" s="194" t="inlineStr">
        <is>
          <t>↳ sub-item</t>
        </is>
      </c>
      <c r="C27" s="193" t="inlineStr">
        <is>
          <t>PhilSys number — Patient.identifier (PH Core PhilSys system)</t>
        </is>
      </c>
      <c r="D27" s="195" t="inlineStr">
        <is>
          <t>(part of TS1-04)</t>
        </is>
      </c>
      <c r="E27" s="196" t="n"/>
      <c r="F27" s="196" t="n"/>
      <c r="G27" s="196" t="n"/>
      <c r="H27" s="196" t="inlineStr">
        <is>
          <t>Yes</t>
        </is>
      </c>
      <c r="I27" s="196" t="n"/>
      <c r="J27" s="196" t="n"/>
      <c r="K27" s="196" t="n"/>
      <c r="L27" s="196" t="n"/>
      <c r="M27" s="197" t="inlineStr">
        <is>
          <t>Not Tested</t>
        </is>
      </c>
      <c r="N27" s="196" t="n"/>
      <c r="O27" s="193">
        <f>IF(M27="Not Met","Needs compliance",IF(M27="Not Tested","Not yet tested",""))</f>
        <v/>
      </c>
      <c r="P27" s="166" t="n"/>
      <c r="T27" s="124" t="inlineStr">
        <is>
          <t>Sub</t>
        </is>
      </c>
      <c r="U27" s="124">
        <f>IF(M27="Not Met","("&amp;2&amp;") "&amp;IF(H27="Yes","★ ","")&amp;C27,"")</f>
        <v/>
      </c>
    </row>
    <row r="28" ht="29" customHeight="1" s="125">
      <c r="A28" s="193" t="inlineStr">
        <is>
          <t>TS1-04.3</t>
        </is>
      </c>
      <c r="B28" s="194" t="inlineStr">
        <is>
          <t>↳ sub-item</t>
        </is>
      </c>
      <c r="C28" s="193" t="inlineStr">
        <is>
          <t>PhilHealth ID — Patient.identifier (PH Core PhilHealth system)</t>
        </is>
      </c>
      <c r="D28" s="195" t="inlineStr">
        <is>
          <t>(part of TS1-04)</t>
        </is>
      </c>
      <c r="E28" s="196" t="n"/>
      <c r="F28" s="196" t="n"/>
      <c r="G28" s="196" t="n"/>
      <c r="H28" s="196" t="inlineStr">
        <is>
          <t>Yes</t>
        </is>
      </c>
      <c r="I28" s="196" t="n"/>
      <c r="J28" s="196" t="n"/>
      <c r="K28" s="196" t="n"/>
      <c r="L28" s="196" t="n"/>
      <c r="M28" s="197" t="inlineStr">
        <is>
          <t>Not Tested</t>
        </is>
      </c>
      <c r="N28" s="196" t="n"/>
      <c r="O28" s="193">
        <f>IF(M28="Not Met","Needs compliance",IF(M28="Not Tested","Not yet tested",""))</f>
        <v/>
      </c>
      <c r="P28" s="166" t="n"/>
      <c r="T28" s="124" t="inlineStr">
        <is>
          <t>Sub</t>
        </is>
      </c>
      <c r="U28" s="124">
        <f>IF(M28="Not Met","("&amp;3&amp;") "&amp;IF(H28="Yes","★ ","")&amp;C28,"")</f>
        <v/>
      </c>
    </row>
    <row r="29" ht="15.5" customHeight="1" s="125">
      <c r="A29" s="193" t="inlineStr">
        <is>
          <t>TS1-04.4</t>
        </is>
      </c>
      <c r="B29" s="194" t="inlineStr">
        <is>
          <t>↳ sub-item</t>
        </is>
      </c>
      <c r="C29" s="193" t="inlineStr">
        <is>
          <t>Birth date — Patient.birthDate</t>
        </is>
      </c>
      <c r="D29" s="195" t="inlineStr">
        <is>
          <t>(part of TS1-04)</t>
        </is>
      </c>
      <c r="E29" s="196" t="n"/>
      <c r="F29" s="196" t="n"/>
      <c r="G29" s="196" t="n"/>
      <c r="H29" s="196" t="n"/>
      <c r="I29" s="196" t="n"/>
      <c r="J29" s="196" t="n"/>
      <c r="K29" s="196" t="n"/>
      <c r="L29" s="196" t="n"/>
      <c r="M29" s="197" t="inlineStr">
        <is>
          <t>Not Tested</t>
        </is>
      </c>
      <c r="N29" s="196" t="n"/>
      <c r="O29" s="193">
        <f>IF(M29="Not Met","Needs compliance",IF(M29="Not Tested","Not yet tested",""))</f>
        <v/>
      </c>
      <c r="P29" s="166" t="n"/>
      <c r="T29" s="124" t="inlineStr">
        <is>
          <t>Sub</t>
        </is>
      </c>
      <c r="U29" s="124">
        <f>IF(M29="Not Met","("&amp;4&amp;") "&amp;IF(H29="Yes","★ ","")&amp;C29,"")</f>
        <v/>
      </c>
    </row>
    <row r="30" ht="15.5" customHeight="1" s="125">
      <c r="A30" s="193" t="inlineStr">
        <is>
          <t>TS1-04.5</t>
        </is>
      </c>
      <c r="B30" s="194" t="inlineStr">
        <is>
          <t>↳ sub-item</t>
        </is>
      </c>
      <c r="C30" s="193" t="inlineStr">
        <is>
          <t>Sex — Patient.gender</t>
        </is>
      </c>
      <c r="D30" s="195" t="inlineStr">
        <is>
          <t>(part of TS1-04)</t>
        </is>
      </c>
      <c r="E30" s="196" t="n"/>
      <c r="F30" s="196" t="n"/>
      <c r="G30" s="196" t="n"/>
      <c r="H30" s="196" t="inlineStr">
        <is>
          <t>Yes</t>
        </is>
      </c>
      <c r="I30" s="196" t="n"/>
      <c r="J30" s="196" t="n"/>
      <c r="K30" s="196" t="n"/>
      <c r="L30" s="196" t="n"/>
      <c r="M30" s="197" t="inlineStr">
        <is>
          <t>Not Tested</t>
        </is>
      </c>
      <c r="N30" s="196" t="n"/>
      <c r="O30" s="193">
        <f>IF(M30="Not Met","Needs compliance",IF(M30="Not Tested","Not yet tested",""))</f>
        <v/>
      </c>
      <c r="P30" s="166" t="n"/>
      <c r="T30" s="124" t="inlineStr">
        <is>
          <t>Sub</t>
        </is>
      </c>
      <c r="U30" s="124">
        <f>IF(M30="Not Met","("&amp;5&amp;") "&amp;IF(H30="Yes","★ ","")&amp;C30,"")</f>
        <v/>
      </c>
    </row>
    <row r="31" ht="15.5" customHeight="1" s="125">
      <c r="A31" s="193" t="inlineStr">
        <is>
          <t>TS1-04.6</t>
        </is>
      </c>
      <c r="B31" s="194" t="inlineStr">
        <is>
          <t>↳ sub-item</t>
        </is>
      </c>
      <c r="C31" s="193" t="inlineStr">
        <is>
          <t>Civil status — Patient.maritalStatus</t>
        </is>
      </c>
      <c r="D31" s="195" t="inlineStr">
        <is>
          <t>(part of TS1-04)</t>
        </is>
      </c>
      <c r="E31" s="196" t="n"/>
      <c r="F31" s="196" t="n"/>
      <c r="G31" s="196" t="n"/>
      <c r="H31" s="196" t="n"/>
      <c r="I31" s="196" t="n"/>
      <c r="J31" s="196" t="n"/>
      <c r="K31" s="196" t="n"/>
      <c r="L31" s="196" t="n"/>
      <c r="M31" s="197" t="inlineStr">
        <is>
          <t>Not Tested</t>
        </is>
      </c>
      <c r="N31" s="196" t="n"/>
      <c r="O31" s="193">
        <f>IF(M31="Not Met","Needs compliance",IF(M31="Not Tested","Not yet tested",""))</f>
        <v/>
      </c>
      <c r="P31" s="166" t="n"/>
      <c r="T31" s="124" t="inlineStr">
        <is>
          <t>Sub</t>
        </is>
      </c>
      <c r="U31" s="124">
        <f>IF(M31="Not Met","("&amp;6&amp;") "&amp;IF(H31="Yes","★ ","")&amp;C31,"")</f>
        <v/>
      </c>
    </row>
    <row r="32" ht="15.5" customHeight="1" s="125">
      <c r="A32" s="193" t="inlineStr">
        <is>
          <t>TS1-04.7</t>
        </is>
      </c>
      <c r="B32" s="194" t="inlineStr">
        <is>
          <t>↳ sub-item</t>
        </is>
      </c>
      <c r="C32" s="193" t="inlineStr">
        <is>
          <t>Address, PSGC-coded — Patient.address</t>
        </is>
      </c>
      <c r="D32" s="195" t="inlineStr">
        <is>
          <t>(part of TS1-04)</t>
        </is>
      </c>
      <c r="E32" s="196" t="n"/>
      <c r="F32" s="196" t="n"/>
      <c r="G32" s="196" t="n"/>
      <c r="H32" s="196" t="n"/>
      <c r="I32" s="196" t="n"/>
      <c r="J32" s="196" t="n"/>
      <c r="K32" s="196" t="n"/>
      <c r="L32" s="196" t="n"/>
      <c r="M32" s="197" t="inlineStr">
        <is>
          <t>Not Tested</t>
        </is>
      </c>
      <c r="N32" s="196" t="n"/>
      <c r="O32" s="193">
        <f>IF(M32="Not Met","Needs compliance",IF(M32="Not Tested","Not yet tested",""))</f>
        <v/>
      </c>
      <c r="P32" s="166" t="n"/>
      <c r="T32" s="124" t="inlineStr">
        <is>
          <t>Sub</t>
        </is>
      </c>
      <c r="U32" s="124">
        <f>IF(M32="Not Met","("&amp;7&amp;") "&amp;IF(H32="Yes","★ ","")&amp;C32,"")</f>
        <v/>
      </c>
    </row>
    <row r="33" ht="15.5" customHeight="1" s="125">
      <c r="A33" s="193" t="inlineStr">
        <is>
          <t>TS1-04.8</t>
        </is>
      </c>
      <c r="B33" s="194" t="inlineStr">
        <is>
          <t>↳ sub-item</t>
        </is>
      </c>
      <c r="C33" s="193" t="inlineStr">
        <is>
          <t>Contact number — Patient.telecom</t>
        </is>
      </c>
      <c r="D33" s="195" t="inlineStr">
        <is>
          <t>(part of TS1-04)</t>
        </is>
      </c>
      <c r="E33" s="196" t="n"/>
      <c r="F33" s="196" t="n"/>
      <c r="G33" s="196" t="n"/>
      <c r="H33" s="196" t="n"/>
      <c r="I33" s="196" t="n"/>
      <c r="J33" s="196" t="n"/>
      <c r="K33" s="196" t="n"/>
      <c r="L33" s="196" t="n"/>
      <c r="M33" s="197" t="inlineStr">
        <is>
          <t>Not Tested</t>
        </is>
      </c>
      <c r="N33" s="196" t="n"/>
      <c r="O33" s="193">
        <f>IF(M33="Not Met","Needs compliance",IF(M33="Not Tested","Not yet tested",""))</f>
        <v/>
      </c>
      <c r="P33" s="166" t="n"/>
      <c r="T33" s="124" t="inlineStr">
        <is>
          <t>Sub</t>
        </is>
      </c>
      <c r="U33" s="124">
        <f>IF(M33="Not Met","("&amp;8&amp;") "&amp;IF(H33="Yes","★ ","")&amp;C33,"")</f>
        <v/>
      </c>
    </row>
    <row r="34" ht="42.5" customHeight="1" s="125">
      <c r="A34" s="193" t="inlineStr">
        <is>
          <t>TS1-04.9</t>
        </is>
      </c>
      <c r="B34" s="194" t="inlineStr">
        <is>
          <t>↳ sub-item</t>
        </is>
      </c>
      <c r="C34" s="193" t="inlineStr">
        <is>
          <t>PWD registration — PWD Disability Registration extension (N/A if the test patient has none)</t>
        </is>
      </c>
      <c r="D34" s="195" t="inlineStr">
        <is>
          <t>(part of TS1-04)</t>
        </is>
      </c>
      <c r="E34" s="196" t="n"/>
      <c r="F34" s="196" t="n"/>
      <c r="G34" s="196" t="n"/>
      <c r="H34" s="196" t="n"/>
      <c r="I34" s="196" t="n"/>
      <c r="J34" s="196" t="n"/>
      <c r="K34" s="196" t="n"/>
      <c r="L34" s="196" t="n"/>
      <c r="M34" s="197" t="inlineStr">
        <is>
          <t>Not Tested</t>
        </is>
      </c>
      <c r="N34" s="196" t="n"/>
      <c r="O34" s="193">
        <f>IF(M34="Not Met","Needs compliance",IF(M34="Not Tested","Not yet tested",""))</f>
        <v/>
      </c>
      <c r="P34" s="166" t="n"/>
      <c r="T34" s="124" t="inlineStr">
        <is>
          <t>Sub</t>
        </is>
      </c>
      <c r="U34" s="124">
        <f>IF(M34="Not Met","("&amp;9&amp;") "&amp;IF(H34="Yes","★ ","")&amp;C34,"")</f>
        <v/>
      </c>
    </row>
    <row r="35" ht="206.5" customHeight="1" s="125">
      <c r="A35" s="172" t="inlineStr">
        <is>
          <t>TS1-05</t>
        </is>
      </c>
      <c r="B35" s="172" t="inlineStr">
        <is>
          <t>Accompanying person</t>
        </is>
      </c>
      <c r="C35" s="172" t="inlineStr">
        <is>
          <t>Accompanied By / Next of Kin is submitted correctly</t>
        </is>
      </c>
      <c r="D35" s="172" t="inlineStr">
        <is>
          <t xml:space="preserve">Send the accompanying person / next of kin (name, relationship, contact number) as a RelatedPerson (ERefRelatedPerson) per the IG. Patient.contact is accepted as an equivalent while the IG is in draft, provided the values are complete and pass $validate. Any create / update method is accepted (transaction Bundle recommended; conditional create / update allowed) — HTTP verbs are not prescribed. What is tested is that the values reach the SHR in the profiled resource and can be retrieved.
Purpose: The receiving facility knows who is with the patient and whom to contact.
</t>
        </is>
      </c>
      <c r="E35" s="172" t="inlineStr">
        <is>
          <t xml:space="preserve">1. Enter the Test Data value and submit.
2. In the server-side evidence, find the RelatedPerson (or Patient.contact) and compare name, relationship and contact number with the Test Data.
Met only if all three match.
Server-side evidence — any ONE of: (a) Interoperability Layer transaction log (e.g., OpenHIM), (b) Inferno / official FHIR validator report, or (c) the raw FHIR request / response payload provided by the developer and captured during the session.
</t>
        </is>
      </c>
      <c r="F35" s="172" t="inlineStr">
        <is>
          <t>Server-side evidence (IOL log, Inferno / validator report, or raw payload) + resource ID</t>
        </is>
      </c>
      <c r="G35" s="172" t="inlineStr">
        <is>
          <t>Validator + server-side check + Observer</t>
        </is>
      </c>
      <c r="H35" s="188" t="inlineStr">
        <is>
          <t>No</t>
        </is>
      </c>
      <c r="I35" s="172" t="n">
        <v>1</v>
      </c>
      <c r="J35" s="172" t="inlineStr">
        <is>
          <t>Binary</t>
        </is>
      </c>
      <c r="K35" s="192" t="n"/>
      <c r="L35" s="192" t="n"/>
      <c r="M35" s="192" t="inlineStr">
        <is>
          <t>Not Tested</t>
        </is>
      </c>
      <c r="N35" s="191">
        <f>IF(M35="N/A",IF(H35="Yes",0,""),IF(M35="Not Tested",0,IF(J35="Tier",IF(M35="Fully integrated",1,IF(M35="Standalone - manual encoding",0.5,0)),IF(J35="Binary",IF(M35="Met",1,0),IF(M35="Counted",IF(N(K35)&gt;0,IF(J35="All-or-nothing",IF(N(L35)&gt;=K35,1,0),MIN(N(L35)/K35,1)),0),0)))))</f>
        <v/>
      </c>
      <c r="O35" s="172">
        <f>IF(M35="Not Met","Needs compliance",IF(M35="Not Tested","Not yet tested",""))</f>
        <v/>
      </c>
      <c r="P35" s="173" t="n"/>
      <c r="Q35" s="175">
        <f>IF(N35="",0,I35)</f>
        <v/>
      </c>
      <c r="R35" s="175">
        <f>IF(N35="",0,I35*N35)</f>
        <v/>
      </c>
      <c r="S35" s="175">
        <f>IF(AND(H35="Yes",M35&lt;&gt;"Not Tested",N35&lt;&gt;"",N35&lt;1),1,0)</f>
        <v/>
      </c>
      <c r="T35" s="175" t="inlineStr">
        <is>
          <t>Criterion</t>
        </is>
      </c>
      <c r="U35" s="175" t="n"/>
      <c r="V35" s="175" t="n"/>
      <c r="W35" s="175">
        <f>IF(AND(T35="Criterion",I35&gt;0,M35&lt;&gt;"Not Tested",N35&lt;&gt;"",OR(N(N35)&lt;1,S35=1)),A35,"")</f>
        <v/>
      </c>
    </row>
    <row r="36" ht="287.5" customHeight="1" s="125">
      <c r="A36" s="172" t="inlineStr">
        <is>
          <t>TS1-06</t>
        </is>
      </c>
      <c r="B36" s="172" t="inlineStr">
        <is>
          <t>Referral request</t>
        </is>
      </c>
      <c r="C36" s="172" t="inlineStr">
        <is>
          <t>Referral request details are submitted correctly</t>
        </is>
      </c>
      <c r="D36" s="172" t="inlineStr">
        <is>
          <t xml:space="preserve">Capture the fields below in the EMR and send them in the ServiceRequest (EReferral ServiceRequest) per the PHeReF / PH Core profile. Any create / update method is accepted (transaction Bundle recommended; conditional create / update allowed) — HTTP verbs are not prescribed. What is tested is that the values reach the SHR in the profiled resource and can be retrieved.
FHIR elements: ServiceRequest.authoredOn; .category (Referral Category VS); .priority (EReferralPriority); .reasonCode (Reason for Referral VS) with .reasonReference → Condition; .subject → Patient; .requester → referring PractitionerRole; .performer → receiving facility / practitioner; .intent = order (fixed); .status.
Source: SRC-02, SRC-03, SRC-09 (Terminology &amp; Registry Sources — Reference Guide, Ch. 4)
Purpose: The receiving facility sees what is requested, how urgent it is and why.
</t>
        </is>
      </c>
      <c r="E36" s="172" t="inlineStr">
        <is>
          <t xml:space="preserve">1. Enter the Test Data values for this group (Test Data Section A) in the referring EMR and submit the referral.
2. Open the ServiceRequest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36" s="172" t="inlineStr">
        <is>
          <t>Server-side evidence (IOL log, Inferno / validator report, or raw payload) + resource ID</t>
        </is>
      </c>
      <c r="G36" s="172" t="inlineStr">
        <is>
          <t>Validator + server-side check + Observer</t>
        </is>
      </c>
      <c r="H36" s="188" t="inlineStr">
        <is>
          <t>★ subs</t>
        </is>
      </c>
      <c r="I36" s="172" t="n">
        <v>2</v>
      </c>
      <c r="J36" s="172" t="inlineStr">
        <is>
          <t>Count</t>
        </is>
      </c>
      <c r="K36" s="192">
        <f>COUNTA(A37:A42)-COUNTIF(M37:M42,"N/A")</f>
        <v/>
      </c>
      <c r="L36" s="192">
        <f>COUNTIF(M37:M42,"Met")</f>
        <v/>
      </c>
      <c r="M36" s="192">
        <f>IF(COUNTIF(M37:M42,"N/A")=COUNTA(A37:A42),"N/A",IF(COUNTIF(M37:M42,"Not Tested")&gt;0,"Not Tested","Counted"))</f>
        <v/>
      </c>
      <c r="N36" s="191">
        <f>IF(M36="N/A",IF(H36="Yes",0,""),IF(M36="Not Tested",0,IF(J36="Tier",IF(M36="Fully integrated",1,IF(M36="Standalone - manual encoding",0.5,0)),IF(J36="Binary",IF(M36="Met",1,0),IF(M36="Counted",IF(N(K36)&gt;0,IF(J36="All-or-nothing",IF(N(L36)&gt;=K36,1,0),MIN(N(L36)/K36,1)),0),0)))))</f>
        <v/>
      </c>
      <c r="O36" s="172">
        <f>IF(COUNTIF(M37:M42,"Not Met")&gt;0,COUNTIF(M37:M42,"Not Met")&amp;" of "&amp;K36&amp;" need compliance: "&amp;_xlfn.TEXTJOIN("; ",TRUE(),U37:U42),IF(COUNTIF(M37:M42,"Not Tested")&gt;0,COUNTIF(M37:M42,"Not Tested")&amp;" of "&amp;COUNTA(A37:A42)&amp;" not yet tested",IF(M36="N/A","","All compliant")))</f>
        <v/>
      </c>
      <c r="P36" s="173" t="n"/>
      <c r="Q36" s="175">
        <f>IF(N36="",0,I36)</f>
        <v/>
      </c>
      <c r="R36" s="175">
        <f>IF(N36="",0,I36*N36)</f>
        <v/>
      </c>
      <c r="S36" s="175">
        <f>IF(OR(AND(H36="Yes",M36&lt;&gt;"Not Tested",N36&lt;&gt;"",N36&lt;1),COUNTIFS(H37:H42,"Yes",M37:M42,"Not Met")+COUNTIFS(H37:H42,"Yes",M37:M42,"N/A")&gt;0),1,0)</f>
        <v/>
      </c>
      <c r="T36" s="175" t="inlineStr">
        <is>
          <t>Criterion</t>
        </is>
      </c>
      <c r="U36" s="175" t="n"/>
      <c r="V36" s="175">
        <f>COUNTA(A37:A42)-COUNTIF(M37:M42,"Not Tested")</f>
        <v/>
      </c>
      <c r="W36" s="175">
        <f>IF(AND(T36="Criterion",I36&gt;0,M36&lt;&gt;"Not Tested",N36&lt;&gt;"",OR(N(N36)&lt;1,S36=1)),A36,"")</f>
        <v/>
      </c>
    </row>
    <row r="37" ht="29" customHeight="1" s="125">
      <c r="A37" s="193" t="inlineStr">
        <is>
          <t>TS1-06.1</t>
        </is>
      </c>
      <c r="B37" s="194" t="inlineStr">
        <is>
          <t>↳ sub-item</t>
        </is>
      </c>
      <c r="C37" s="193" t="inlineStr">
        <is>
          <t>Date of referral — ServiceRequest.authoredOn</t>
        </is>
      </c>
      <c r="D37" s="195" t="inlineStr">
        <is>
          <t>(part of TS1-06)</t>
        </is>
      </c>
      <c r="E37" s="196" t="n"/>
      <c r="F37" s="196" t="n"/>
      <c r="G37" s="196" t="n"/>
      <c r="H37" s="196" t="n"/>
      <c r="I37" s="196" t="n"/>
      <c r="J37" s="196" t="n"/>
      <c r="K37" s="196" t="n"/>
      <c r="L37" s="196" t="n"/>
      <c r="M37" s="197" t="inlineStr">
        <is>
          <t>Not Tested</t>
        </is>
      </c>
      <c r="N37" s="196" t="n"/>
      <c r="O37" s="193">
        <f>IF(M37="Not Met","Needs compliance",IF(M37="Not Tested","Not yet tested",""))</f>
        <v/>
      </c>
      <c r="P37" s="166" t="n"/>
      <c r="T37" s="124" t="inlineStr">
        <is>
          <t>Sub</t>
        </is>
      </c>
      <c r="U37" s="124">
        <f>IF(M37="Not Met","("&amp;1&amp;") "&amp;IF(H37="Yes","★ ","")&amp;C37,"")</f>
        <v/>
      </c>
    </row>
    <row r="38" ht="29" customHeight="1" s="125">
      <c r="A38" s="193" t="inlineStr">
        <is>
          <t>TS1-06.2</t>
        </is>
      </c>
      <c r="B38" s="194" t="inlineStr">
        <is>
          <t>↳ sub-item</t>
        </is>
      </c>
      <c r="C38" s="193" t="inlineStr">
        <is>
          <t>Referral category — ServiceRequest.category (Emergency / Outpatient)</t>
        </is>
      </c>
      <c r="D38" s="195" t="inlineStr">
        <is>
          <t>(part of TS1-06)</t>
        </is>
      </c>
      <c r="E38" s="196" t="n"/>
      <c r="F38" s="196" t="n"/>
      <c r="G38" s="196" t="n"/>
      <c r="H38" s="196" t="inlineStr">
        <is>
          <t>Yes</t>
        </is>
      </c>
      <c r="I38" s="196" t="n"/>
      <c r="J38" s="196" t="n"/>
      <c r="K38" s="196" t="n"/>
      <c r="L38" s="196" t="n"/>
      <c r="M38" s="197" t="inlineStr">
        <is>
          <t>Not Tested</t>
        </is>
      </c>
      <c r="N38" s="196" t="n"/>
      <c r="O38" s="193">
        <f>IF(M38="Not Met","Needs compliance",IF(M38="Not Tested","Not yet tested",""))</f>
        <v/>
      </c>
      <c r="P38" s="166" t="n"/>
      <c r="T38" s="124" t="inlineStr">
        <is>
          <t>Sub</t>
        </is>
      </c>
      <c r="U38" s="124">
        <f>IF(M38="Not Met","("&amp;2&amp;") "&amp;IF(H38="Yes","★ ","")&amp;C38,"")</f>
        <v/>
      </c>
    </row>
    <row r="39" ht="29" customHeight="1" s="125">
      <c r="A39" s="193" t="inlineStr">
        <is>
          <t>TS1-06.3</t>
        </is>
      </c>
      <c r="B39" s="194" t="inlineStr">
        <is>
          <t>↳ sub-item</t>
        </is>
      </c>
      <c r="C39" s="193" t="inlineStr">
        <is>
          <t>Priority — ServiceRequest.priority (routine / urgent / stat)</t>
        </is>
      </c>
      <c r="D39" s="195" t="inlineStr">
        <is>
          <t>(part of TS1-06)</t>
        </is>
      </c>
      <c r="E39" s="196" t="n"/>
      <c r="F39" s="196" t="n"/>
      <c r="G39" s="196" t="n"/>
      <c r="H39" s="196" t="inlineStr">
        <is>
          <t>Yes</t>
        </is>
      </c>
      <c r="I39" s="196" t="n"/>
      <c r="J39" s="196" t="n"/>
      <c r="K39" s="196" t="n"/>
      <c r="L39" s="196" t="n"/>
      <c r="M39" s="197" t="inlineStr">
        <is>
          <t>Not Tested</t>
        </is>
      </c>
      <c r="N39" s="196" t="n"/>
      <c r="O39" s="193">
        <f>IF(M39="Not Met","Needs compliance",IF(M39="Not Tested","Not yet tested",""))</f>
        <v/>
      </c>
      <c r="P39" s="166" t="n"/>
      <c r="T39" s="124" t="inlineStr">
        <is>
          <t>Sub</t>
        </is>
      </c>
      <c r="U39" s="124">
        <f>IF(M39="Not Met","("&amp;3&amp;") "&amp;IF(H39="Yes","★ ","")&amp;C39,"")</f>
        <v/>
      </c>
    </row>
    <row r="40" ht="29" customHeight="1" s="125">
      <c r="A40" s="193" t="inlineStr">
        <is>
          <t>TS1-06.4</t>
        </is>
      </c>
      <c r="B40" s="194" t="inlineStr">
        <is>
          <t>↳ sub-item</t>
        </is>
      </c>
      <c r="C40" s="193" t="inlineStr">
        <is>
          <t>Reason for referral — ServiceRequest.reasonCode</t>
        </is>
      </c>
      <c r="D40" s="195" t="inlineStr">
        <is>
          <t>(part of TS1-06)</t>
        </is>
      </c>
      <c r="E40" s="196" t="n"/>
      <c r="F40" s="196" t="n"/>
      <c r="G40" s="196" t="n"/>
      <c r="H40" s="196" t="inlineStr">
        <is>
          <t>Yes</t>
        </is>
      </c>
      <c r="I40" s="196" t="n"/>
      <c r="J40" s="196" t="n"/>
      <c r="K40" s="196" t="n"/>
      <c r="L40" s="196" t="n"/>
      <c r="M40" s="197" t="inlineStr">
        <is>
          <t>Not Tested</t>
        </is>
      </c>
      <c r="N40" s="196" t="n"/>
      <c r="O40" s="193">
        <f>IF(M40="Not Met","Needs compliance",IF(M40="Not Tested","Not yet tested",""))</f>
        <v/>
      </c>
      <c r="P40" s="166" t="n"/>
      <c r="T40" s="124" t="inlineStr">
        <is>
          <t>Sub</t>
        </is>
      </c>
      <c r="U40" s="124">
        <f>IF(M40="Not Met","("&amp;4&amp;") "&amp;IF(H40="Yes","★ ","")&amp;C40,"")</f>
        <v/>
      </c>
    </row>
    <row r="41" ht="42.5" customHeight="1" s="125">
      <c r="A41" s="193" t="inlineStr">
        <is>
          <t>TS1-06.5</t>
        </is>
      </c>
      <c r="B41" s="194" t="inlineStr">
        <is>
          <t>↳ sub-item</t>
        </is>
      </c>
      <c r="C41" s="193" t="inlineStr">
        <is>
          <t>Links — subject → Patient, requester → referring PractitionerRole, performer → receiving facility</t>
        </is>
      </c>
      <c r="D41" s="195" t="inlineStr">
        <is>
          <t>(part of TS1-06)</t>
        </is>
      </c>
      <c r="E41" s="196" t="n"/>
      <c r="F41" s="196" t="n"/>
      <c r="G41" s="196" t="n"/>
      <c r="H41" s="196" t="inlineStr">
        <is>
          <t>Yes</t>
        </is>
      </c>
      <c r="I41" s="196" t="n"/>
      <c r="J41" s="196" t="n"/>
      <c r="K41" s="196" t="n"/>
      <c r="L41" s="196" t="n"/>
      <c r="M41" s="197" t="inlineStr">
        <is>
          <t>Not Tested</t>
        </is>
      </c>
      <c r="N41" s="196" t="n"/>
      <c r="O41" s="193">
        <f>IF(M41="Not Met","Needs compliance",IF(M41="Not Tested","Not yet tested",""))</f>
        <v/>
      </c>
      <c r="P41" s="166" t="n"/>
      <c r="T41" s="124" t="inlineStr">
        <is>
          <t>Sub</t>
        </is>
      </c>
      <c r="U41" s="124">
        <f>IF(M41="Not Met","("&amp;5&amp;") "&amp;IF(H41="Yes","★ ","")&amp;C41,"")</f>
        <v/>
      </c>
    </row>
    <row r="42" ht="29" customHeight="1" s="125">
      <c r="A42" s="193" t="inlineStr">
        <is>
          <t>TS1-06.6</t>
        </is>
      </c>
      <c r="B42" s="194" t="inlineStr">
        <is>
          <t>↳ sub-item</t>
        </is>
      </c>
      <c r="C42" s="193" t="inlineStr">
        <is>
          <t>Fixed values — intent = order; status per IG</t>
        </is>
      </c>
      <c r="D42" s="195" t="inlineStr">
        <is>
          <t>(part of TS1-06)</t>
        </is>
      </c>
      <c r="E42" s="196" t="n"/>
      <c r="F42" s="196" t="n"/>
      <c r="G42" s="196" t="n"/>
      <c r="H42" s="196" t="n"/>
      <c r="I42" s="196" t="n"/>
      <c r="J42" s="196" t="n"/>
      <c r="K42" s="196" t="n"/>
      <c r="L42" s="196" t="n"/>
      <c r="M42" s="197" t="inlineStr">
        <is>
          <t>Not Tested</t>
        </is>
      </c>
      <c r="N42" s="196" t="n"/>
      <c r="O42" s="193">
        <f>IF(M42="Not Met","Needs compliance",IF(M42="Not Tested","Not yet tested",""))</f>
        <v/>
      </c>
      <c r="P42" s="166" t="n"/>
      <c r="T42" s="124" t="inlineStr">
        <is>
          <t>Sub</t>
        </is>
      </c>
      <c r="U42" s="124">
        <f>IF(M42="Not Met","("&amp;6&amp;") "&amp;IF(H42="Yes","★ ","")&amp;C42,"")</f>
        <v/>
      </c>
    </row>
    <row r="43" ht="274" customHeight="1" s="125">
      <c r="A43" s="172" t="inlineStr">
        <is>
          <t>TS1-07</t>
        </is>
      </c>
      <c r="B43" s="172" t="inlineStr">
        <is>
          <t>Clinical findings</t>
        </is>
      </c>
      <c r="C43" s="172" t="inlineStr">
        <is>
          <t>Chief complaint, working impression and clinical history are submitted correctly</t>
        </is>
      </c>
      <c r="D43" s="172" t="inlineStr">
        <is>
          <t xml:space="preserve">Capture the fields below in the EMR and send them in the Condition (EReferral Condition) per the PHeReF / PH Core profile. Any create / update method is accepted (transaction Bundle recommended; conditional create / update allowed) — HTTP verbs are not prescribed. What is tested is that the values reach the SHR in the profiled resource and can be retrieved.
FHIR elements: Chief complaint → Condition.code.text (category problem-list-item); working impression → Condition.code (ICD-10 / SNOMED CT; category encounter-diagnosis), referenced from ServiceRequest.reasonReference; clinical history → Condition.note.
Source: SRC-06, SRC-08 (Terminology &amp; Registry Sources — Reference Guide, Ch. 4)
Purpose: The receiving clinician understands the clinical reason for the referral.
</t>
        </is>
      </c>
      <c r="E43" s="172" t="inlineStr">
        <is>
          <t xml:space="preserve">1. Enter the Test Data values for this group (Test Data Section A) in the referring EMR and submit the referral.
2. Open the Condition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43" s="172" t="inlineStr">
        <is>
          <t>Server-side evidence (IOL log, Inferno / validator report, or raw payload) + resource ID</t>
        </is>
      </c>
      <c r="G43" s="172" t="inlineStr">
        <is>
          <t>Validator + server-side check + Observer</t>
        </is>
      </c>
      <c r="H43" s="188" t="inlineStr">
        <is>
          <t>★ subs</t>
        </is>
      </c>
      <c r="I43" s="172" t="n">
        <v>2</v>
      </c>
      <c r="J43" s="172" t="inlineStr">
        <is>
          <t>Count</t>
        </is>
      </c>
      <c r="K43" s="192">
        <f>COUNTA(A44:A46)-COUNTIF(M44:M46,"N/A")</f>
        <v/>
      </c>
      <c r="L43" s="192">
        <f>COUNTIF(M44:M46,"Met")</f>
        <v/>
      </c>
      <c r="M43" s="192">
        <f>IF(COUNTIF(M44:M46,"N/A")=COUNTA(A44:A46),"N/A",IF(COUNTIF(M44:M46,"Not Tested")&gt;0,"Not Tested","Counted"))</f>
        <v/>
      </c>
      <c r="N43" s="191">
        <f>IF(M43="N/A",IF(H43="Yes",0,""),IF(M43="Not Tested",0,IF(J43="Tier",IF(M43="Fully integrated",1,IF(M43="Standalone - manual encoding",0.5,0)),IF(J43="Binary",IF(M43="Met",1,0),IF(M43="Counted",IF(N(K43)&gt;0,IF(J43="All-or-nothing",IF(N(L43)&gt;=K43,1,0),MIN(N(L43)/K43,1)),0),0)))))</f>
        <v/>
      </c>
      <c r="O43" s="172">
        <f>IF(COUNTIF(M44:M46,"Not Met")&gt;0,COUNTIF(M44:M46,"Not Met")&amp;" of "&amp;K43&amp;" need compliance: "&amp;_xlfn.TEXTJOIN("; ",TRUE(),U44:U46),IF(COUNTIF(M44:M46,"Not Tested")&gt;0,COUNTIF(M44:M46,"Not Tested")&amp;" of "&amp;COUNTA(A44:A46)&amp;" not yet tested",IF(M43="N/A","","All compliant")))</f>
        <v/>
      </c>
      <c r="P43" s="173" t="n"/>
      <c r="Q43" s="175">
        <f>IF(N43="",0,I43)</f>
        <v/>
      </c>
      <c r="R43" s="175">
        <f>IF(N43="",0,I43*N43)</f>
        <v/>
      </c>
      <c r="S43" s="175">
        <f>IF(OR(AND(H43="Yes",M43&lt;&gt;"Not Tested",N43&lt;&gt;"",N43&lt;1),COUNTIFS(H44:H46,"Yes",M44:M46,"Not Met")+COUNTIFS(H44:H46,"Yes",M44:M46,"N/A")&gt;0),1,0)</f>
        <v/>
      </c>
      <c r="T43" s="175" t="inlineStr">
        <is>
          <t>Criterion</t>
        </is>
      </c>
      <c r="U43" s="175" t="n"/>
      <c r="V43" s="175">
        <f>COUNTA(A44:A46)-COUNTIF(M44:M46,"Not Tested")</f>
        <v/>
      </c>
      <c r="W43" s="175">
        <f>IF(AND(T43="Criterion",I43&gt;0,M43&lt;&gt;"Not Tested",N43&lt;&gt;"",OR(N(N43)&lt;1,S43=1)),A43,"")</f>
        <v/>
      </c>
    </row>
    <row r="44" ht="15.5" customHeight="1" s="125">
      <c r="A44" s="193" t="inlineStr">
        <is>
          <t>TS1-07.1</t>
        </is>
      </c>
      <c r="B44" s="194" t="inlineStr">
        <is>
          <t>↳ sub-item</t>
        </is>
      </c>
      <c r="C44" s="193" t="inlineStr">
        <is>
          <t>Chief complaint — Condition.code.text</t>
        </is>
      </c>
      <c r="D44" s="195" t="inlineStr">
        <is>
          <t>(part of TS1-07)</t>
        </is>
      </c>
      <c r="E44" s="196" t="n"/>
      <c r="F44" s="196" t="n"/>
      <c r="G44" s="196" t="n"/>
      <c r="H44" s="196" t="n"/>
      <c r="I44" s="196" t="n"/>
      <c r="J44" s="196" t="n"/>
      <c r="K44" s="196" t="n"/>
      <c r="L44" s="196" t="n"/>
      <c r="M44" s="197" t="inlineStr">
        <is>
          <t>Not Tested</t>
        </is>
      </c>
      <c r="N44" s="196" t="n"/>
      <c r="O44" s="193">
        <f>IF(M44="Not Met","Needs compliance",IF(M44="Not Tested","Not yet tested",""))</f>
        <v/>
      </c>
      <c r="P44" s="166" t="n"/>
      <c r="T44" s="124" t="inlineStr">
        <is>
          <t>Sub</t>
        </is>
      </c>
      <c r="U44" s="124">
        <f>IF(M44="Not Met","("&amp;1&amp;") "&amp;IF(H44="Yes","★ ","")&amp;C44,"")</f>
        <v/>
      </c>
    </row>
    <row r="45" ht="29" customHeight="1" s="125">
      <c r="A45" s="193" t="inlineStr">
        <is>
          <t>TS1-07.2</t>
        </is>
      </c>
      <c r="B45" s="194" t="inlineStr">
        <is>
          <t>↳ sub-item</t>
        </is>
      </c>
      <c r="C45" s="193" t="inlineStr">
        <is>
          <t>Working impression — Condition.code (coded)</t>
        </is>
      </c>
      <c r="D45" s="195" t="inlineStr">
        <is>
          <t>(part of TS1-07)</t>
        </is>
      </c>
      <c r="E45" s="196" t="n"/>
      <c r="F45" s="196" t="n"/>
      <c r="G45" s="196" t="n"/>
      <c r="H45" s="196" t="inlineStr">
        <is>
          <t>Yes</t>
        </is>
      </c>
      <c r="I45" s="196" t="n"/>
      <c r="J45" s="196" t="n"/>
      <c r="K45" s="196" t="n"/>
      <c r="L45" s="196" t="n"/>
      <c r="M45" s="197" t="inlineStr">
        <is>
          <t>Not Tested</t>
        </is>
      </c>
      <c r="N45" s="196" t="n"/>
      <c r="O45" s="193">
        <f>IF(M45="Not Met","Needs compliance",IF(M45="Not Tested","Not yet tested",""))</f>
        <v/>
      </c>
      <c r="P45" s="166" t="n"/>
      <c r="T45" s="124" t="inlineStr">
        <is>
          <t>Sub</t>
        </is>
      </c>
      <c r="U45" s="124">
        <f>IF(M45="Not Met","("&amp;2&amp;") "&amp;IF(H45="Yes","★ ","")&amp;C45,"")</f>
        <v/>
      </c>
    </row>
    <row r="46" ht="15.5" customHeight="1" s="125">
      <c r="A46" s="193" t="inlineStr">
        <is>
          <t>TS1-07.3</t>
        </is>
      </c>
      <c r="B46" s="194" t="inlineStr">
        <is>
          <t>↳ sub-item</t>
        </is>
      </c>
      <c r="C46" s="193" t="inlineStr">
        <is>
          <t>Clinical history — Condition.note</t>
        </is>
      </c>
      <c r="D46" s="195" t="inlineStr">
        <is>
          <t>(part of TS1-07)</t>
        </is>
      </c>
      <c r="E46" s="196" t="n"/>
      <c r="F46" s="196" t="n"/>
      <c r="G46" s="196" t="n"/>
      <c r="H46" s="196" t="n"/>
      <c r="I46" s="196" t="n"/>
      <c r="J46" s="196" t="n"/>
      <c r="K46" s="196" t="n"/>
      <c r="L46" s="196" t="n"/>
      <c r="M46" s="197" t="inlineStr">
        <is>
          <t>Not Tested</t>
        </is>
      </c>
      <c r="N46" s="196" t="n"/>
      <c r="O46" s="193">
        <f>IF(M46="Not Met","Needs compliance",IF(M46="Not Tested","Not yet tested",""))</f>
        <v/>
      </c>
      <c r="P46" s="166" t="n"/>
      <c r="T46" s="124" t="inlineStr">
        <is>
          <t>Sub</t>
        </is>
      </c>
      <c r="U46" s="124">
        <f>IF(M46="Not Met","("&amp;3&amp;") "&amp;IF(H46="Yes","★ ","")&amp;C46,"")</f>
        <v/>
      </c>
    </row>
    <row r="47" ht="260.5" customHeight="1" s="125">
      <c r="A47" s="172" t="inlineStr">
        <is>
          <t>TS1-08</t>
        </is>
      </c>
      <c r="B47" s="172" t="inlineStr">
        <is>
          <t>Vital signs</t>
        </is>
      </c>
      <c r="C47" s="172" t="inlineStr">
        <is>
          <t>Vital signs are submitted correctly (LOINC code, category vital-signs, value with UCUM unit)</t>
        </is>
      </c>
      <c r="D47" s="172" t="inlineStr">
        <is>
          <t xml:space="preserve">Capture the fields below in the EMR and send them in the Observation (EReferral Observation) per the PHeReF / PH Core profile. Any create / update method is accepted (transaction Bundle recommended; conditional create / update allowed) — HTTP verbs are not prescribed. What is tested is that the values reach the SHR in the profiled resource and can be retrieved.
FHIR elements: Observation.code (LOINC), Observation.category = vital-signs, Observation.value[x] with UCUM unit; blood pressure as panel 85354-9 with systolic (8480-6) and diastolic (8462-4) components.
Source: SRC-07 (Terminology &amp; Registry Sources — Reference Guide, Ch. 4)
Purpose: Vital signs are machine-readable and comparable at the receiving facility.
</t>
        </is>
      </c>
      <c r="E47" s="172" t="inlineStr">
        <is>
          <t xml:space="preserve">1. Enter the Test Data values for this group (Test Data Section A) in the referring EMR and submit the referral.
2. Open the Observation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47" s="172" t="inlineStr">
        <is>
          <t>Server-side evidence (IOL log, Inferno / validator report, or raw payload) + resource ID</t>
        </is>
      </c>
      <c r="G47" s="172" t="inlineStr">
        <is>
          <t>Validator + server-side check + Observer</t>
        </is>
      </c>
      <c r="H47" s="188" t="inlineStr">
        <is>
          <t>★ subs</t>
        </is>
      </c>
      <c r="I47" s="172" t="n">
        <v>2</v>
      </c>
      <c r="J47" s="172" t="inlineStr">
        <is>
          <t>Count</t>
        </is>
      </c>
      <c r="K47" s="192">
        <f>COUNTA(A48:A53)-COUNTIF(M48:M53,"N/A")</f>
        <v/>
      </c>
      <c r="L47" s="192">
        <f>COUNTIF(M48:M53,"Met")</f>
        <v/>
      </c>
      <c r="M47" s="192">
        <f>IF(COUNTIF(M48:M53,"N/A")=COUNTA(A48:A53),"N/A",IF(COUNTIF(M48:M53,"Not Tested")&gt;0,"Not Tested","Counted"))</f>
        <v/>
      </c>
      <c r="N47" s="191">
        <f>IF(M47="N/A",IF(H47="Yes",0,""),IF(M47="Not Tested",0,IF(J47="Tier",IF(M47="Fully integrated",1,IF(M47="Standalone - manual encoding",0.5,0)),IF(J47="Binary",IF(M47="Met",1,0),IF(M47="Counted",IF(N(K47)&gt;0,IF(J47="All-or-nothing",IF(N(L47)&gt;=K47,1,0),MIN(N(L47)/K47,1)),0),0)))))</f>
        <v/>
      </c>
      <c r="O47" s="172">
        <f>IF(COUNTIF(M48:M53,"Not Met")&gt;0,COUNTIF(M48:M53,"Not Met")&amp;" of "&amp;K47&amp;" need compliance: "&amp;_xlfn.TEXTJOIN("; ",TRUE(),U48:U53),IF(COUNTIF(M48:M53,"Not Tested")&gt;0,COUNTIF(M48:M53,"Not Tested")&amp;" of "&amp;COUNTA(A48:A53)&amp;" not yet tested",IF(M47="N/A","","All compliant")))</f>
        <v/>
      </c>
      <c r="P47" s="173" t="n"/>
      <c r="Q47" s="175">
        <f>IF(N47="",0,I47)</f>
        <v/>
      </c>
      <c r="R47" s="175">
        <f>IF(N47="",0,I47*N47)</f>
        <v/>
      </c>
      <c r="S47" s="175">
        <f>IF(OR(AND(H47="Yes",M47&lt;&gt;"Not Tested",N47&lt;&gt;"",N47&lt;1),COUNTIFS(H48:H53,"Yes",M48:M53,"Not Met")+COUNTIFS(H48:H53,"Yes",M48:M53,"N/A")&gt;0),1,0)</f>
        <v/>
      </c>
      <c r="T47" s="175" t="inlineStr">
        <is>
          <t>Criterion</t>
        </is>
      </c>
      <c r="U47" s="175" t="n"/>
      <c r="V47" s="175">
        <f>COUNTA(A48:A53)-COUNTIF(M48:M53,"Not Tested")</f>
        <v/>
      </c>
      <c r="W47" s="175">
        <f>IF(AND(T47="Criterion",I47&gt;0,M47&lt;&gt;"Not Tested",N47&lt;&gt;"",OR(N(N47)&lt;1,S47=1)),A47,"")</f>
        <v/>
      </c>
    </row>
    <row r="48" ht="29" customHeight="1" s="125">
      <c r="A48" s="193" t="inlineStr">
        <is>
          <t>TS1-08.1</t>
        </is>
      </c>
      <c r="B48" s="194" t="inlineStr">
        <is>
          <t>↳ sub-item</t>
        </is>
      </c>
      <c r="C48" s="193" t="inlineStr">
        <is>
          <t>Blood pressure — panel with systolic and diastolic components</t>
        </is>
      </c>
      <c r="D48" s="195" t="inlineStr">
        <is>
          <t>(part of TS1-08)</t>
        </is>
      </c>
      <c r="E48" s="196" t="n"/>
      <c r="F48" s="196" t="n"/>
      <c r="G48" s="196" t="n"/>
      <c r="H48" s="196" t="inlineStr">
        <is>
          <t>Yes</t>
        </is>
      </c>
      <c r="I48" s="196" t="n"/>
      <c r="J48" s="196" t="n"/>
      <c r="K48" s="196" t="n"/>
      <c r="L48" s="196" t="n"/>
      <c r="M48" s="197" t="inlineStr">
        <is>
          <t>Not Tested</t>
        </is>
      </c>
      <c r="N48" s="196" t="n"/>
      <c r="O48" s="193">
        <f>IF(M48="Not Met","Needs compliance",IF(M48="Not Tested","Not yet tested",""))</f>
        <v/>
      </c>
      <c r="P48" s="166" t="n"/>
      <c r="T48" s="124" t="inlineStr">
        <is>
          <t>Sub</t>
        </is>
      </c>
      <c r="U48" s="124">
        <f>IF(M48="Not Met","("&amp;1&amp;") "&amp;IF(H48="Yes","★ ","")&amp;C48,"")</f>
        <v/>
      </c>
    </row>
    <row r="49" ht="15.5" customHeight="1" s="125">
      <c r="A49" s="193" t="inlineStr">
        <is>
          <t>TS1-08.2</t>
        </is>
      </c>
      <c r="B49" s="194" t="inlineStr">
        <is>
          <t>↳ sub-item</t>
        </is>
      </c>
      <c r="C49" s="193" t="inlineStr">
        <is>
          <t>Heart rate</t>
        </is>
      </c>
      <c r="D49" s="195" t="inlineStr">
        <is>
          <t>(part of TS1-08)</t>
        </is>
      </c>
      <c r="E49" s="196" t="n"/>
      <c r="F49" s="196" t="n"/>
      <c r="G49" s="196" t="n"/>
      <c r="H49" s="196" t="n"/>
      <c r="I49" s="196" t="n"/>
      <c r="J49" s="196" t="n"/>
      <c r="K49" s="196" t="n"/>
      <c r="L49" s="196" t="n"/>
      <c r="M49" s="197" t="inlineStr">
        <is>
          <t>Not Tested</t>
        </is>
      </c>
      <c r="N49" s="196" t="n"/>
      <c r="O49" s="193">
        <f>IF(M49="Not Met","Needs compliance",IF(M49="Not Tested","Not yet tested",""))</f>
        <v/>
      </c>
      <c r="P49" s="166" t="n"/>
      <c r="T49" s="124" t="inlineStr">
        <is>
          <t>Sub</t>
        </is>
      </c>
      <c r="U49" s="124">
        <f>IF(M49="Not Met","("&amp;2&amp;") "&amp;IF(H49="Yes","★ ","")&amp;C49,"")</f>
        <v/>
      </c>
    </row>
    <row r="50" ht="15.5" customHeight="1" s="125">
      <c r="A50" s="193" t="inlineStr">
        <is>
          <t>TS1-08.3</t>
        </is>
      </c>
      <c r="B50" s="194" t="inlineStr">
        <is>
          <t>↳ sub-item</t>
        </is>
      </c>
      <c r="C50" s="193" t="inlineStr">
        <is>
          <t>Respiratory rate</t>
        </is>
      </c>
      <c r="D50" s="195" t="inlineStr">
        <is>
          <t>(part of TS1-08)</t>
        </is>
      </c>
      <c r="E50" s="196" t="n"/>
      <c r="F50" s="196" t="n"/>
      <c r="G50" s="196" t="n"/>
      <c r="H50" s="196" t="n"/>
      <c r="I50" s="196" t="n"/>
      <c r="J50" s="196" t="n"/>
      <c r="K50" s="196" t="n"/>
      <c r="L50" s="196" t="n"/>
      <c r="M50" s="197" t="inlineStr">
        <is>
          <t>Not Tested</t>
        </is>
      </c>
      <c r="N50" s="196" t="n"/>
      <c r="O50" s="193">
        <f>IF(M50="Not Met","Needs compliance",IF(M50="Not Tested","Not yet tested",""))</f>
        <v/>
      </c>
      <c r="P50" s="166" t="n"/>
      <c r="T50" s="124" t="inlineStr">
        <is>
          <t>Sub</t>
        </is>
      </c>
      <c r="U50" s="124">
        <f>IF(M50="Not Met","("&amp;3&amp;") "&amp;IF(H50="Yes","★ ","")&amp;C50,"")</f>
        <v/>
      </c>
    </row>
    <row r="51" ht="15.5" customHeight="1" s="125">
      <c r="A51" s="193" t="inlineStr">
        <is>
          <t>TS1-08.4</t>
        </is>
      </c>
      <c r="B51" s="194" t="inlineStr">
        <is>
          <t>↳ sub-item</t>
        </is>
      </c>
      <c r="C51" s="193" t="inlineStr">
        <is>
          <t>Oxygen saturation</t>
        </is>
      </c>
      <c r="D51" s="195" t="inlineStr">
        <is>
          <t>(part of TS1-08)</t>
        </is>
      </c>
      <c r="E51" s="196" t="n"/>
      <c r="F51" s="196" t="n"/>
      <c r="G51" s="196" t="n"/>
      <c r="H51" s="196" t="n"/>
      <c r="I51" s="196" t="n"/>
      <c r="J51" s="196" t="n"/>
      <c r="K51" s="196" t="n"/>
      <c r="L51" s="196" t="n"/>
      <c r="M51" s="197" t="inlineStr">
        <is>
          <t>Not Tested</t>
        </is>
      </c>
      <c r="N51" s="196" t="n"/>
      <c r="O51" s="193">
        <f>IF(M51="Not Met","Needs compliance",IF(M51="Not Tested","Not yet tested",""))</f>
        <v/>
      </c>
      <c r="P51" s="166" t="n"/>
      <c r="T51" s="124" t="inlineStr">
        <is>
          <t>Sub</t>
        </is>
      </c>
      <c r="U51" s="124">
        <f>IF(M51="Not Met","("&amp;4&amp;") "&amp;IF(H51="Yes","★ ","")&amp;C51,"")</f>
        <v/>
      </c>
    </row>
    <row r="52" ht="15.5" customHeight="1" s="125">
      <c r="A52" s="193" t="inlineStr">
        <is>
          <t>TS1-08.5</t>
        </is>
      </c>
      <c r="B52" s="194" t="inlineStr">
        <is>
          <t>↳ sub-item</t>
        </is>
      </c>
      <c r="C52" s="193" t="inlineStr">
        <is>
          <t>Body temperature</t>
        </is>
      </c>
      <c r="D52" s="195" t="inlineStr">
        <is>
          <t>(part of TS1-08)</t>
        </is>
      </c>
      <c r="E52" s="196" t="n"/>
      <c r="F52" s="196" t="n"/>
      <c r="G52" s="196" t="n"/>
      <c r="H52" s="196" t="n"/>
      <c r="I52" s="196" t="n"/>
      <c r="J52" s="196" t="n"/>
      <c r="K52" s="196" t="n"/>
      <c r="L52" s="196" t="n"/>
      <c r="M52" s="197" t="inlineStr">
        <is>
          <t>Not Tested</t>
        </is>
      </c>
      <c r="N52" s="196" t="n"/>
      <c r="O52" s="193">
        <f>IF(M52="Not Met","Needs compliance",IF(M52="Not Tested","Not yet tested",""))</f>
        <v/>
      </c>
      <c r="P52" s="166" t="n"/>
      <c r="T52" s="124" t="inlineStr">
        <is>
          <t>Sub</t>
        </is>
      </c>
      <c r="U52" s="124">
        <f>IF(M52="Not Met","("&amp;5&amp;") "&amp;IF(H52="Yes","★ ","")&amp;C52,"")</f>
        <v/>
      </c>
    </row>
    <row r="53" ht="15.5" customHeight="1" s="125">
      <c r="A53" s="193" t="inlineStr">
        <is>
          <t>TS1-08.6</t>
        </is>
      </c>
      <c r="B53" s="194" t="inlineStr">
        <is>
          <t>↳ sub-item</t>
        </is>
      </c>
      <c r="C53" s="193" t="inlineStr">
        <is>
          <t>Body weight</t>
        </is>
      </c>
      <c r="D53" s="195" t="inlineStr">
        <is>
          <t>(part of TS1-08)</t>
        </is>
      </c>
      <c r="E53" s="196" t="n"/>
      <c r="F53" s="196" t="n"/>
      <c r="G53" s="196" t="n"/>
      <c r="H53" s="196" t="n"/>
      <c r="I53" s="196" t="n"/>
      <c r="J53" s="196" t="n"/>
      <c r="K53" s="196" t="n"/>
      <c r="L53" s="196" t="n"/>
      <c r="M53" s="197" t="inlineStr">
        <is>
          <t>Not Tested</t>
        </is>
      </c>
      <c r="N53" s="196" t="n"/>
      <c r="O53" s="193">
        <f>IF(M53="Not Met","Needs compliance",IF(M53="Not Tested","Not yet tested",""))</f>
        <v/>
      </c>
      <c r="P53" s="166" t="n"/>
      <c r="T53" s="124" t="inlineStr">
        <is>
          <t>Sub</t>
        </is>
      </c>
      <c r="U53" s="124">
        <f>IF(M53="Not Met","("&amp;6&amp;") "&amp;IF(H53="Yes","★ ","")&amp;C53,"")</f>
        <v/>
      </c>
    </row>
    <row r="54" ht="152.5" customHeight="1" s="125">
      <c r="A54" s="172" t="inlineStr">
        <is>
          <t>TS1-09</t>
        </is>
      </c>
      <c r="B54" s="172" t="inlineStr">
        <is>
          <t>Attachments</t>
        </is>
      </c>
      <c r="C54" s="172" t="inlineStr">
        <is>
          <t>Laboratory result attachment is submitted with the referral</t>
        </is>
      </c>
      <c r="D54" s="172" t="inlineStr">
        <is>
          <t xml:space="preserve">Send laboratory results as DiagnosticReport.presentedForm (Attachment with contentType and data or url). Any create / update method is accepted (transaction Bundle recommended; conditional create / update allowed) — HTTP verbs are not prescribed. What is tested is that the values reach the SHR in the profiled resource and can be retrieved.
Purpose: Lab results travel with the patient.
</t>
        </is>
      </c>
      <c r="E54" s="172" t="inlineStr">
        <is>
          <t xml:space="preserve">Attach the Test Data lab file and submit. Met if the server-side evidence shows a DiagnosticReport whose presentedForm carries the file with a contentType.
Server-side evidence — any ONE of: (a) Interoperability Layer transaction log (e.g., OpenHIM), (b) Inferno / official FHIR validator report, or (c) the raw FHIR request / response payload provided by the developer and captured during the session.
</t>
        </is>
      </c>
      <c r="F54" s="172" t="inlineStr">
        <is>
          <t>Server-side evidence (IOL log, Inferno / validator report, or raw payload) + resource ID</t>
        </is>
      </c>
      <c r="G54" s="172" t="inlineStr">
        <is>
          <t>Validator + server-side check + Observer</t>
        </is>
      </c>
      <c r="H54" s="188" t="inlineStr">
        <is>
          <t>No</t>
        </is>
      </c>
      <c r="I54" s="172" t="n">
        <v>1</v>
      </c>
      <c r="J54" s="172" t="inlineStr">
        <is>
          <t>Binary</t>
        </is>
      </c>
      <c r="K54" s="192" t="n"/>
      <c r="L54" s="192" t="n"/>
      <c r="M54" s="192" t="inlineStr">
        <is>
          <t>Not Tested</t>
        </is>
      </c>
      <c r="N54" s="191">
        <f>IF(M54="N/A",IF(H54="Yes",0,""),IF(M54="Not Tested",0,IF(J54="Tier",IF(M54="Fully integrated",1,IF(M54="Standalone - manual encoding",0.5,0)),IF(J54="Binary",IF(M54="Met",1,0),IF(M54="Counted",IF(N(K54)&gt;0,IF(J54="All-or-nothing",IF(N(L54)&gt;=K54,1,0),MIN(N(L54)/K54,1)),0),0)))))</f>
        <v/>
      </c>
      <c r="O54" s="172">
        <f>IF(M54="Not Met","Needs compliance",IF(M54="Not Tested","Not yet tested",""))</f>
        <v/>
      </c>
      <c r="P54" s="173" t="n"/>
      <c r="Q54" s="175">
        <f>IF(N54="",0,I54)</f>
        <v/>
      </c>
      <c r="R54" s="175">
        <f>IF(N54="",0,I54*N54)</f>
        <v/>
      </c>
      <c r="S54" s="175">
        <f>IF(AND(H54="Yes",M54&lt;&gt;"Not Tested",N54&lt;&gt;"",N54&lt;1),1,0)</f>
        <v/>
      </c>
      <c r="T54" s="175" t="inlineStr">
        <is>
          <t>Criterion</t>
        </is>
      </c>
      <c r="U54" s="175" t="n"/>
      <c r="V54" s="175" t="n"/>
      <c r="W54" s="175">
        <f>IF(AND(T54="Criterion",I54&gt;0,M54&lt;&gt;"Not Tested",N54&lt;&gt;"",OR(N(N54)&lt;1,S54=1)),A54,"")</f>
        <v/>
      </c>
    </row>
    <row r="55" ht="193" customHeight="1" s="125">
      <c r="A55" s="172" t="inlineStr">
        <is>
          <t>TS1-10</t>
        </is>
      </c>
      <c r="B55" s="172" t="inlineStr">
        <is>
          <t>Treatment</t>
        </is>
      </c>
      <c r="C55" s="172" t="inlineStr">
        <is>
          <t>Treatment given before referral is submitted correctly</t>
        </is>
      </c>
      <c r="D55" s="172" t="inlineStr">
        <is>
          <t xml:space="preserve">Send the treatment given as MedicationAdministration (EReferral MedicationAdministration) per the IG; Procedure (with note) is accepted as an equivalent for non-drug treatment or while the IG is in draft. Any create / update method is accepted (transaction Bundle recommended; conditional create / update allowed) — HTTP verbs are not prescribed. What is tested is that the values reach the SHR in the profiled resource and can be retrieved.
Purpose: The receiving facility knows what was already given.
</t>
        </is>
      </c>
      <c r="E55" s="172" t="inlineStr">
        <is>
          <t xml:space="preserve">Enter the Test Data value and submit. Met if the server-side evidence shows the treatment in a MedicationAdministration or Procedure linked to the patient / encounter.
Server-side evidence — any ONE of: (a) Interoperability Layer transaction log (e.g., OpenHIM), (b) Inferno / official FHIR validator report, or (c) the raw FHIR request / response payload provided by the developer and captured during the session.
</t>
        </is>
      </c>
      <c r="F55" s="172" t="inlineStr">
        <is>
          <t>Server-side evidence (IOL log, Inferno / validator report, or raw payload) + resource ID</t>
        </is>
      </c>
      <c r="G55" s="172" t="inlineStr">
        <is>
          <t>Validator + server-side check + Observer</t>
        </is>
      </c>
      <c r="H55" s="188" t="inlineStr">
        <is>
          <t>No</t>
        </is>
      </c>
      <c r="I55" s="172" t="n">
        <v>1</v>
      </c>
      <c r="J55" s="172" t="inlineStr">
        <is>
          <t>Binary</t>
        </is>
      </c>
      <c r="K55" s="192" t="n"/>
      <c r="L55" s="192" t="n"/>
      <c r="M55" s="192" t="inlineStr">
        <is>
          <t>Not Tested</t>
        </is>
      </c>
      <c r="N55" s="191">
        <f>IF(M55="N/A",IF(H55="Yes",0,""),IF(M55="Not Tested",0,IF(J55="Tier",IF(M55="Fully integrated",1,IF(M55="Standalone - manual encoding",0.5,0)),IF(J55="Binary",IF(M55="Met",1,0),IF(M55="Counted",IF(N(K55)&gt;0,IF(J55="All-or-nothing",IF(N(L55)&gt;=K55,1,0),MIN(N(L55)/K55,1)),0),0)))))</f>
        <v/>
      </c>
      <c r="O55" s="172">
        <f>IF(M55="Not Met","Needs compliance",IF(M55="Not Tested","Not yet tested",""))</f>
        <v/>
      </c>
      <c r="P55" s="173" t="n"/>
      <c r="Q55" s="175">
        <f>IF(N55="",0,I55)</f>
        <v/>
      </c>
      <c r="R55" s="175">
        <f>IF(N55="",0,I55*N55)</f>
        <v/>
      </c>
      <c r="S55" s="175">
        <f>IF(AND(H55="Yes",M55&lt;&gt;"Not Tested",N55&lt;&gt;"",N55&lt;1),1,0)</f>
        <v/>
      </c>
      <c r="T55" s="175" t="inlineStr">
        <is>
          <t>Criterion</t>
        </is>
      </c>
      <c r="U55" s="175" t="n"/>
      <c r="V55" s="175" t="n"/>
      <c r="W55" s="175">
        <f>IF(AND(T55="Criterion",I55&gt;0,M55&lt;&gt;"Not Tested",N55&lt;&gt;"",OR(N(N55)&lt;1,S55=1)),A55,"")</f>
        <v/>
      </c>
    </row>
    <row r="56" ht="206.5" customHeight="1" s="125">
      <c r="A56" s="172" t="inlineStr">
        <is>
          <t>TS1-11</t>
        </is>
      </c>
      <c r="B56" s="172" t="inlineStr">
        <is>
          <t>Signature</t>
        </is>
      </c>
      <c r="C56" s="172" t="inlineStr">
        <is>
          <t>Professional signature and its date / time are submitted</t>
        </is>
      </c>
      <c r="D56" s="172" t="inlineStr">
        <is>
          <t xml:space="preserve">Capture the fields below in the EMR and send them in the Provenance (EReferral Provenance) per the PHeReF / PH Core profile. Any create / update method is accepted (transaction Bundle recommended; conditional create / update allowed) — HTTP verbs are not prescribed. What is tested is that the values reach the SHR in the profiled resource and can be retrieved.
FHIR elements: Provenance.signature; Provenance.recorded; Provenance.target → ServiceRequest.
Purpose: The referral is attested by an accountable professional.
</t>
        </is>
      </c>
      <c r="E56" s="172" t="inlineStr">
        <is>
          <t xml:space="preserve">1. Enter the Test Data values for this group (Test Data Section A) in the referring EMR and submit the referral.
2. Open the Provenance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6" s="172" t="inlineStr">
        <is>
          <t>Server-side evidence (IOL log, Inferno / validator report, or raw payload) + resource ID</t>
        </is>
      </c>
      <c r="G56" s="172" t="inlineStr">
        <is>
          <t>Validator + server-side check + Observer</t>
        </is>
      </c>
      <c r="H56" s="188" t="inlineStr">
        <is>
          <t>No</t>
        </is>
      </c>
      <c r="I56" s="172" t="n">
        <v>1</v>
      </c>
      <c r="J56" s="172" t="inlineStr">
        <is>
          <t>Count</t>
        </is>
      </c>
      <c r="K56" s="192">
        <f>COUNTA(A57:A58)-COUNTIF(M57:M58,"N/A")</f>
        <v/>
      </c>
      <c r="L56" s="192">
        <f>COUNTIF(M57:M58,"Met")</f>
        <v/>
      </c>
      <c r="M56" s="192">
        <f>IF(COUNTIF(M57:M58,"N/A")=COUNTA(A57:A58),"N/A",IF(COUNTIF(M57:M58,"Not Tested")&gt;0,"Not Tested","Counted"))</f>
        <v/>
      </c>
      <c r="N56" s="191">
        <f>IF(M56="N/A",IF(H56="Yes",0,""),IF(M56="Not Tested",0,IF(J56="Tier",IF(M56="Fully integrated",1,IF(M56="Standalone - manual encoding",0.5,0)),IF(J56="Binary",IF(M56="Met",1,0),IF(M56="Counted",IF(N(K56)&gt;0,IF(J56="All-or-nothing",IF(N(L56)&gt;=K56,1,0),MIN(N(L56)/K56,1)),0),0)))))</f>
        <v/>
      </c>
      <c r="O56" s="172">
        <f>IF(COUNTIF(M57:M58,"Not Met")&gt;0,COUNTIF(M57:M58,"Not Met")&amp;" of "&amp;K56&amp;" need compliance: "&amp;_xlfn.TEXTJOIN("; ",TRUE(),U57:U58),IF(COUNTIF(M57:M58,"Not Tested")&gt;0,COUNTIF(M57:M58,"Not Tested")&amp;" of "&amp;COUNTA(A57:A58)&amp;" not yet tested",IF(M56="N/A","","All compliant")))</f>
        <v/>
      </c>
      <c r="P56" s="173" t="n"/>
      <c r="Q56" s="175">
        <f>IF(N56="",0,I56)</f>
        <v/>
      </c>
      <c r="R56" s="175">
        <f>IF(N56="",0,I56*N56)</f>
        <v/>
      </c>
      <c r="S56" s="175">
        <f>IF(OR(AND(H56="Yes",M56&lt;&gt;"Not Tested",N56&lt;&gt;"",N56&lt;1),COUNTIFS(H57:H58,"Yes",M57:M58,"Not Met")+COUNTIFS(H57:H58,"Yes",M57:M58,"N/A")&gt;0),1,0)</f>
        <v/>
      </c>
      <c r="T56" s="175" t="inlineStr">
        <is>
          <t>Criterion</t>
        </is>
      </c>
      <c r="U56" s="175" t="n"/>
      <c r="V56" s="175">
        <f>COUNTA(A57:A58)-COUNTIF(M57:M58,"Not Tested")</f>
        <v/>
      </c>
      <c r="W56" s="175">
        <f>IF(AND(T56="Criterion",I56&gt;0,M56&lt;&gt;"Not Tested",N56&lt;&gt;"",OR(N(N56)&lt;1,S56=1)),A56,"")</f>
        <v/>
      </c>
    </row>
    <row r="57" ht="29" customHeight="1" s="125">
      <c r="A57" s="193" t="inlineStr">
        <is>
          <t>TS1-11.1</t>
        </is>
      </c>
      <c r="B57" s="194" t="inlineStr">
        <is>
          <t>↳ sub-item</t>
        </is>
      </c>
      <c r="C57" s="193" t="inlineStr">
        <is>
          <t>Professional signature — Provenance.signature</t>
        </is>
      </c>
      <c r="D57" s="195" t="inlineStr">
        <is>
          <t>(part of TS1-11)</t>
        </is>
      </c>
      <c r="E57" s="196" t="n"/>
      <c r="F57" s="196" t="n"/>
      <c r="G57" s="196" t="n"/>
      <c r="H57" s="196" t="n"/>
      <c r="I57" s="196" t="n"/>
      <c r="J57" s="196" t="n"/>
      <c r="K57" s="196" t="n"/>
      <c r="L57" s="196" t="n"/>
      <c r="M57" s="197" t="inlineStr">
        <is>
          <t>Not Tested</t>
        </is>
      </c>
      <c r="N57" s="196" t="n"/>
      <c r="O57" s="193">
        <f>IF(M57="Not Met","Needs compliance",IF(M57="Not Tested","Not yet tested",""))</f>
        <v/>
      </c>
      <c r="P57" s="166" t="n"/>
      <c r="T57" s="124" t="inlineStr">
        <is>
          <t>Sub</t>
        </is>
      </c>
      <c r="U57" s="124">
        <f>IF(M57="Not Met","("&amp;1&amp;") "&amp;IF(H57="Yes","★ ","")&amp;C57,"")</f>
        <v/>
      </c>
    </row>
    <row r="58" ht="29" customHeight="1" s="125">
      <c r="A58" s="193" t="inlineStr">
        <is>
          <t>TS1-11.2</t>
        </is>
      </c>
      <c r="B58" s="194" t="inlineStr">
        <is>
          <t>↳ sub-item</t>
        </is>
      </c>
      <c r="C58" s="193" t="inlineStr">
        <is>
          <t>Date &amp; time of signature — Provenance.recorded</t>
        </is>
      </c>
      <c r="D58" s="195" t="inlineStr">
        <is>
          <t>(part of TS1-11)</t>
        </is>
      </c>
      <c r="E58" s="196" t="n"/>
      <c r="F58" s="196" t="n"/>
      <c r="G58" s="196" t="n"/>
      <c r="H58" s="196" t="n"/>
      <c r="I58" s="196" t="n"/>
      <c r="J58" s="196" t="n"/>
      <c r="K58" s="196" t="n"/>
      <c r="L58" s="196" t="n"/>
      <c r="M58" s="197" t="inlineStr">
        <is>
          <t>Not Tested</t>
        </is>
      </c>
      <c r="N58" s="196" t="n"/>
      <c r="O58" s="193">
        <f>IF(M58="Not Met","Needs compliance",IF(M58="Not Tested","Not yet tested",""))</f>
        <v/>
      </c>
      <c r="P58" s="166" t="n"/>
      <c r="T58" s="124" t="inlineStr">
        <is>
          <t>Sub</t>
        </is>
      </c>
      <c r="U58" s="124">
        <f>IF(M58="Not Met","("&amp;2&amp;") "&amp;IF(H58="Yes","★ ","")&amp;C58,"")</f>
        <v/>
      </c>
    </row>
    <row r="59" ht="260.5" customHeight="1" s="125">
      <c r="A59" s="172" t="inlineStr">
        <is>
          <t>TS1-12</t>
        </is>
      </c>
      <c r="B59" s="172" t="inlineStr">
        <is>
          <t>Referral tracking</t>
        </is>
      </c>
      <c r="C59" s="172" t="inlineStr">
        <is>
          <t>Referral tracking task is created with status 'requested' and linked to the referral</t>
        </is>
      </c>
      <c r="D59" s="172" t="inlineStr">
        <is>
          <t xml:space="preserve">Capture the fields below in the EMR and send them in the Task (EReferral Task) per the PHeReF / PH Core profile. Any create / update method is accepted (transaction Bundle recommended; conditional create / update allowed) — HTTP verbs are not prescribed. What is tested is that the values reach the SHR in the profiled resource and can be retrieved.
FHIR elements: Task.status = requested; Task.intent = order; Task.focus → ServiceRequest; Task.for → Patient; Task.requester → referring PractitionerRole; Task.owner → receiving facility (or its care navigator, when known); Task.authoredOn.
Source: SRC-04 (Terminology &amp; Registry Sources — Reference Guide, Ch. 4)
Purpose: The referral can be tracked; the receiving facility updates this Task (TS2-11).
</t>
        </is>
      </c>
      <c r="E59" s="172" t="inlineStr">
        <is>
          <t xml:space="preserve">1. Enter the Test Data values for this group (Test Data Section A) in the referring EMR and submit the referral.
2. Open the Task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9" s="172" t="inlineStr">
        <is>
          <t>Server-side evidence (IOL log, Inferno / validator report, or raw payload) + resource ID</t>
        </is>
      </c>
      <c r="G59" s="172" t="inlineStr">
        <is>
          <t>Validator + server-side check + Observer</t>
        </is>
      </c>
      <c r="H59" s="188" t="inlineStr">
        <is>
          <t>★ subs</t>
        </is>
      </c>
      <c r="I59" s="172" t="n">
        <v>2</v>
      </c>
      <c r="J59" s="172" t="inlineStr">
        <is>
          <t>Count</t>
        </is>
      </c>
      <c r="K59" s="192">
        <f>COUNTA(A60:A63)-COUNTIF(M60:M63,"N/A")</f>
        <v/>
      </c>
      <c r="L59" s="192">
        <f>COUNTIF(M60:M63,"Met")</f>
        <v/>
      </c>
      <c r="M59" s="192">
        <f>IF(COUNTIF(M60:M63,"N/A")=COUNTA(A60:A63),"N/A",IF(COUNTIF(M60:M63,"Not Tested")&gt;0,"Not Tested","Counted"))</f>
        <v/>
      </c>
      <c r="N59" s="191">
        <f>IF(M59="N/A",IF(H59="Yes",0,""),IF(M59="Not Tested",0,IF(J59="Tier",IF(M59="Fully integrated",1,IF(M59="Standalone - manual encoding",0.5,0)),IF(J59="Binary",IF(M59="Met",1,0),IF(M59="Counted",IF(N(K59)&gt;0,IF(J59="All-or-nothing",IF(N(L59)&gt;=K59,1,0),MIN(N(L59)/K59,1)),0),0)))))</f>
        <v/>
      </c>
      <c r="O59" s="172">
        <f>IF(COUNTIF(M60:M63,"Not Met")&gt;0,COUNTIF(M60:M63,"Not Met")&amp;" of "&amp;K59&amp;" need compliance: "&amp;_xlfn.TEXTJOIN("; ",TRUE(),U60:U63),IF(COUNTIF(M60:M63,"Not Tested")&gt;0,COUNTIF(M60:M63,"Not Tested")&amp;" of "&amp;COUNTA(A60:A63)&amp;" not yet tested",IF(M59="N/A","","All compliant")))</f>
        <v/>
      </c>
      <c r="P59" s="173" t="n"/>
      <c r="Q59" s="175">
        <f>IF(N59="",0,I59)</f>
        <v/>
      </c>
      <c r="R59" s="175">
        <f>IF(N59="",0,I59*N59)</f>
        <v/>
      </c>
      <c r="S59" s="175">
        <f>IF(OR(AND(H59="Yes",M59&lt;&gt;"Not Tested",N59&lt;&gt;"",N59&lt;1),COUNTIFS(H60:H63,"Yes",M60:M63,"Not Met")+COUNTIFS(H60:H63,"Yes",M60:M63,"N/A")&gt;0),1,0)</f>
        <v/>
      </c>
      <c r="T59" s="175" t="inlineStr">
        <is>
          <t>Criterion</t>
        </is>
      </c>
      <c r="U59" s="175" t="n"/>
      <c r="V59" s="175">
        <f>COUNTA(A60:A63)-COUNTIF(M60:M63,"Not Tested")</f>
        <v/>
      </c>
      <c r="W59" s="175">
        <f>IF(AND(T59="Criterion",I59&gt;0,M59&lt;&gt;"Not Tested",N59&lt;&gt;"",OR(N(N59)&lt;1,S59=1)),A59,"")</f>
        <v/>
      </c>
    </row>
    <row r="60" ht="29" customHeight="1" s="125">
      <c r="A60" s="193" t="inlineStr">
        <is>
          <t>TS1-12.1</t>
        </is>
      </c>
      <c r="B60" s="194" t="inlineStr">
        <is>
          <t>↳ sub-item</t>
        </is>
      </c>
      <c r="C60" s="193" t="inlineStr">
        <is>
          <t>Status = requested at submission — Task.status</t>
        </is>
      </c>
      <c r="D60" s="195" t="inlineStr">
        <is>
          <t>(part of TS1-12)</t>
        </is>
      </c>
      <c r="E60" s="196" t="n"/>
      <c r="F60" s="196" t="n"/>
      <c r="G60" s="196" t="n"/>
      <c r="H60" s="196" t="inlineStr">
        <is>
          <t>Yes</t>
        </is>
      </c>
      <c r="I60" s="196" t="n"/>
      <c r="J60" s="196" t="n"/>
      <c r="K60" s="196" t="n"/>
      <c r="L60" s="196" t="n"/>
      <c r="M60" s="197" t="inlineStr">
        <is>
          <t>Not Tested</t>
        </is>
      </c>
      <c r="N60" s="196" t="n"/>
      <c r="O60" s="193">
        <f>IF(M60="Not Met","Needs compliance",IF(M60="Not Tested","Not yet tested",""))</f>
        <v/>
      </c>
      <c r="P60" s="166" t="n"/>
      <c r="T60" s="124" t="inlineStr">
        <is>
          <t>Sub</t>
        </is>
      </c>
      <c r="U60" s="124">
        <f>IF(M60="Not Met","("&amp;1&amp;") "&amp;IF(H60="Yes","★ ","")&amp;C60,"")</f>
        <v/>
      </c>
    </row>
    <row r="61" ht="29" customHeight="1" s="125">
      <c r="A61" s="193" t="inlineStr">
        <is>
          <t>TS1-12.2</t>
        </is>
      </c>
      <c r="B61" s="194" t="inlineStr">
        <is>
          <t>↳ sub-item</t>
        </is>
      </c>
      <c r="C61" s="193" t="inlineStr">
        <is>
          <t>Linked to the referral — Task.focus → ServiceRequest</t>
        </is>
      </c>
      <c r="D61" s="195" t="inlineStr">
        <is>
          <t>(part of TS1-12)</t>
        </is>
      </c>
      <c r="E61" s="196" t="n"/>
      <c r="F61" s="196" t="n"/>
      <c r="G61" s="196" t="n"/>
      <c r="H61" s="196" t="inlineStr">
        <is>
          <t>Yes</t>
        </is>
      </c>
      <c r="I61" s="196" t="n"/>
      <c r="J61" s="196" t="n"/>
      <c r="K61" s="196" t="n"/>
      <c r="L61" s="196" t="n"/>
      <c r="M61" s="197" t="inlineStr">
        <is>
          <t>Not Tested</t>
        </is>
      </c>
      <c r="N61" s="196" t="n"/>
      <c r="O61" s="193">
        <f>IF(M61="Not Met","Needs compliance",IF(M61="Not Tested","Not yet tested",""))</f>
        <v/>
      </c>
      <c r="P61" s="166" t="n"/>
      <c r="T61" s="124" t="inlineStr">
        <is>
          <t>Sub</t>
        </is>
      </c>
      <c r="U61" s="124">
        <f>IF(M61="Not Met","("&amp;2&amp;") "&amp;IF(H61="Yes","★ ","")&amp;C61,"")</f>
        <v/>
      </c>
    </row>
    <row r="62" ht="42.5" customHeight="1" s="125">
      <c r="A62" s="193" t="inlineStr">
        <is>
          <t>TS1-12.3</t>
        </is>
      </c>
      <c r="B62" s="194" t="inlineStr">
        <is>
          <t>↳ sub-item</t>
        </is>
      </c>
      <c r="C62" s="193" t="inlineStr">
        <is>
          <t>Requester = referring practitioner; owner = receiving facility — Task.requester / Task.owner</t>
        </is>
      </c>
      <c r="D62" s="195" t="inlineStr">
        <is>
          <t>(part of TS1-12)</t>
        </is>
      </c>
      <c r="E62" s="196" t="n"/>
      <c r="F62" s="196" t="n"/>
      <c r="G62" s="196" t="n"/>
      <c r="H62" s="196" t="n"/>
      <c r="I62" s="196" t="n"/>
      <c r="J62" s="196" t="n"/>
      <c r="K62" s="196" t="n"/>
      <c r="L62" s="196" t="n"/>
      <c r="M62" s="197" t="inlineStr">
        <is>
          <t>Not Tested</t>
        </is>
      </c>
      <c r="N62" s="196" t="n"/>
      <c r="O62" s="193">
        <f>IF(M62="Not Met","Needs compliance",IF(M62="Not Tested","Not yet tested",""))</f>
        <v/>
      </c>
      <c r="P62" s="166" t="n"/>
      <c r="T62" s="124" t="inlineStr">
        <is>
          <t>Sub</t>
        </is>
      </c>
      <c r="U62" s="124">
        <f>IF(M62="Not Met","("&amp;3&amp;") "&amp;IF(H62="Yes","★ ","")&amp;C62,"")</f>
        <v/>
      </c>
    </row>
    <row r="63" ht="15.5" customHeight="1" s="125">
      <c r="A63" s="193" t="inlineStr">
        <is>
          <t>TS1-12.4</t>
        </is>
      </c>
      <c r="B63" s="194" t="inlineStr">
        <is>
          <t>↳ sub-item</t>
        </is>
      </c>
      <c r="C63" s="193" t="inlineStr">
        <is>
          <t>Date / time sent — Task.authoredOn</t>
        </is>
      </c>
      <c r="D63" s="195" t="inlineStr">
        <is>
          <t>(part of TS1-12)</t>
        </is>
      </c>
      <c r="E63" s="196" t="n"/>
      <c r="F63" s="196" t="n"/>
      <c r="G63" s="196" t="n"/>
      <c r="H63" s="196" t="n"/>
      <c r="I63" s="196" t="n"/>
      <c r="J63" s="196" t="n"/>
      <c r="K63" s="196" t="n"/>
      <c r="L63" s="196" t="n"/>
      <c r="M63" s="197" t="inlineStr">
        <is>
          <t>Not Tested</t>
        </is>
      </c>
      <c r="N63" s="196" t="n"/>
      <c r="O63" s="193">
        <f>IF(M63="Not Met","Needs compliance",IF(M63="Not Tested","Not yet tested",""))</f>
        <v/>
      </c>
      <c r="P63" s="166" t="n"/>
      <c r="T63" s="124" t="inlineStr">
        <is>
          <t>Sub</t>
        </is>
      </c>
      <c r="U63" s="124">
        <f>IF(M63="Not Met","("&amp;4&amp;") "&amp;IF(H63="Yes","★ ","")&amp;C63,"")</f>
        <v/>
      </c>
    </row>
    <row r="64" ht="166" customHeight="1" s="125">
      <c r="A64" s="172" t="inlineStr">
        <is>
          <t>TS1-13</t>
        </is>
      </c>
      <c r="B64" s="172" t="inlineStr">
        <is>
          <t>Encounter</t>
        </is>
      </c>
      <c r="C64" s="172" t="inlineStr">
        <is>
          <t>The referral is linked to the encounter at the referring facility</t>
        </is>
      </c>
      <c r="D64" s="172" t="inlineStr">
        <is>
          <t xml:space="preserve">Send the referring-facility encounter as an Encounter (ERefEncounter) and reference it from ServiceRequest.encounter. Any create / update method is accepted (transaction Bundle recommended; conditional create / update allowed) — HTTP verbs are not prescribed. What is tested is that the values reach the SHR in the profiled resource and can be retrieved.
Purpose: Places the referral in the context of the visit where it was made.
</t>
        </is>
      </c>
      <c r="E64" s="172" t="inlineStr">
        <is>
          <t xml:space="preserve">Met if the server-side evidence shows an Encounter for the test patient, referenced by ServiceRequest.encounter.
Server-side evidence — any ONE of: (a) Interoperability Layer transaction log (e.g., OpenHIM), (b) Inferno / official FHIR validator report, or (c) the raw FHIR request / response payload provided by the developer and captured during the session.
</t>
        </is>
      </c>
      <c r="F64" s="172" t="inlineStr">
        <is>
          <t>Server-side evidence (IOL log, Inferno / validator report, or raw payload) + resource ID</t>
        </is>
      </c>
      <c r="G64" s="172" t="inlineStr">
        <is>
          <t>Validator + server-side check + Observer</t>
        </is>
      </c>
      <c r="H64" s="188" t="inlineStr">
        <is>
          <t>No</t>
        </is>
      </c>
      <c r="I64" s="172" t="n">
        <v>1</v>
      </c>
      <c r="J64" s="172" t="inlineStr">
        <is>
          <t>Binary</t>
        </is>
      </c>
      <c r="K64" s="192" t="n"/>
      <c r="L64" s="192" t="n"/>
      <c r="M64" s="192" t="inlineStr">
        <is>
          <t>Not Tested</t>
        </is>
      </c>
      <c r="N64" s="191">
        <f>IF(M64="N/A",IF(H64="Yes",0,""),IF(M64="Not Tested",0,IF(J64="Tier",IF(M64="Fully integrated",1,IF(M64="Standalone - manual encoding",0.5,0)),IF(J64="Binary",IF(M64="Met",1,0),IF(M64="Counted",IF(N(K64)&gt;0,IF(J64="All-or-nothing",IF(N(L64)&gt;=K64,1,0),MIN(N(L64)/K64,1)),0),0)))))</f>
        <v/>
      </c>
      <c r="O64" s="172">
        <f>IF(M64="Not Met","Needs compliance",IF(M64="Not Tested","Not yet tested",""))</f>
        <v/>
      </c>
      <c r="P64" s="173" t="n"/>
      <c r="Q64" s="175">
        <f>IF(N64="",0,I64)</f>
        <v/>
      </c>
      <c r="R64" s="175">
        <f>IF(N64="",0,I64*N64)</f>
        <v/>
      </c>
      <c r="S64" s="175">
        <f>IF(AND(H64="Yes",M64&lt;&gt;"Not Tested",N64&lt;&gt;"",N64&lt;1),1,0)</f>
        <v/>
      </c>
      <c r="T64" s="175" t="inlineStr">
        <is>
          <t>Criterion</t>
        </is>
      </c>
      <c r="U64" s="175" t="n"/>
      <c r="V64" s="175" t="n"/>
      <c r="W64" s="175">
        <f>IF(AND(T64="Criterion",I64&gt;0,M64&lt;&gt;"Not Tested",N64&lt;&gt;"",OR(N(N64)&lt;1,S64=1)),A64,"")</f>
        <v/>
      </c>
    </row>
    <row r="65" ht="44.5" customHeight="1" s="125">
      <c r="A65" s="172" t="inlineStr">
        <is>
          <t>TS1-14</t>
        </is>
      </c>
      <c r="B65" s="172" t="inlineStr">
        <is>
          <t>Time called (info)</t>
        </is>
      </c>
      <c r="C65" s="172" t="inlineStr">
        <is>
          <t>Time Called — record whether the EMR captures it (for information)</t>
        </is>
      </c>
      <c r="D65" s="172" t="inlineStr">
        <is>
          <t>Capture the field in the EMR. Not scored until the TDG defines its FHIR element (IG v0.1 defines none).</t>
        </is>
      </c>
      <c r="E65" s="172" t="inlineStr">
        <is>
          <t>Record only whether the field exists in the EMR and where it is sent, if anywhere (for information).</t>
        </is>
      </c>
      <c r="F65" s="172" t="inlineStr">
        <is>
          <t>Screenshot (optional)</t>
        </is>
      </c>
      <c r="G65" s="172" t="inlineStr">
        <is>
          <t>Validator</t>
        </is>
      </c>
      <c r="H65" s="188" t="inlineStr">
        <is>
          <t>No</t>
        </is>
      </c>
      <c r="I65" s="172" t="n">
        <v>0</v>
      </c>
      <c r="J65" s="172" t="inlineStr">
        <is>
          <t>Binary</t>
        </is>
      </c>
      <c r="K65" s="192" t="n"/>
      <c r="L65" s="192" t="n"/>
      <c r="M65" s="192" t="inlineStr">
        <is>
          <t>Not Tested</t>
        </is>
      </c>
      <c r="N65" s="191">
        <f>IF(M65="N/A",IF(H65="Yes",0,""),IF(M65="Not Tested",0,IF(J65="Tier",IF(M65="Fully integrated",1,IF(M65="Standalone - manual encoding",0.5,0)),IF(J65="Binary",IF(M65="Met",1,0),IF(M65="Counted",IF(N(K65)&gt;0,IF(J65="All-or-nothing",IF(N(L65)&gt;=K65,1,0),MIN(N(L65)/K65,1)),0),0)))))</f>
        <v/>
      </c>
      <c r="O65" s="172">
        <f>IF(M65="Not Met","Needs compliance",IF(M65="Not Tested","Not yet tested",""))</f>
        <v/>
      </c>
      <c r="P65" s="173" t="n"/>
      <c r="Q65" s="175">
        <f>IF(N65="",0,I65)</f>
        <v/>
      </c>
      <c r="R65" s="175">
        <f>IF(N65="",0,I65*N65)</f>
        <v/>
      </c>
      <c r="S65" s="175">
        <f>IF(AND(H65="Yes",M65&lt;&gt;"Not Tested",N65&lt;&gt;"",N65&lt;1),1,0)</f>
        <v/>
      </c>
      <c r="T65" s="175" t="inlineStr">
        <is>
          <t>Criterion</t>
        </is>
      </c>
      <c r="U65" s="175" t="n"/>
      <c r="V65" s="175" t="n"/>
      <c r="W65" s="175">
        <f>IF(AND(T65="Criterion",I65&gt;0,M65&lt;&gt;"Not Tested",N65&lt;&gt;"",OR(N(N65)&lt;1,S65=1)),A65,"")</f>
        <v/>
      </c>
    </row>
    <row r="66" ht="44.5" customHeight="1" s="125">
      <c r="A66" s="172" t="inlineStr">
        <is>
          <t>TS1-15</t>
        </is>
      </c>
      <c r="B66" s="172" t="inlineStr">
        <is>
          <t>Transport (info)</t>
        </is>
      </c>
      <c r="C66" s="172" t="inlineStr">
        <is>
          <t>Mode of transportation (e.g., ambulance, private vehicle) — record whether the EMR captures it (for information)</t>
        </is>
      </c>
      <c r="D66" s="172" t="inlineStr">
        <is>
          <t>Capture the field in the EMR. Not scored until the TDG defines its FHIR mapping.</t>
        </is>
      </c>
      <c r="E66" s="172" t="inlineStr">
        <is>
          <t>Record only whether the field exists in the EMR (for information).</t>
        </is>
      </c>
      <c r="F66" s="172" t="inlineStr">
        <is>
          <t>Screenshot (optional)</t>
        </is>
      </c>
      <c r="G66" s="172" t="inlineStr">
        <is>
          <t>Validator</t>
        </is>
      </c>
      <c r="H66" s="188" t="inlineStr">
        <is>
          <t>No</t>
        </is>
      </c>
      <c r="I66" s="172" t="n">
        <v>0</v>
      </c>
      <c r="J66" s="172" t="inlineStr">
        <is>
          <t>Binary</t>
        </is>
      </c>
      <c r="K66" s="192" t="n"/>
      <c r="L66" s="192" t="n"/>
      <c r="M66" s="192" t="inlineStr">
        <is>
          <t>Not Tested</t>
        </is>
      </c>
      <c r="N66" s="191">
        <f>IF(M66="N/A",IF(H66="Yes",0,""),IF(M66="Not Tested",0,IF(J66="Tier",IF(M66="Fully integrated",1,IF(M66="Standalone - manual encoding",0.5,0)),IF(J66="Binary",IF(M66="Met",1,0),IF(M66="Counted",IF(N(K66)&gt;0,IF(J66="All-or-nothing",IF(N(L66)&gt;=K66,1,0),MIN(N(L66)/K66,1)),0),0)))))</f>
        <v/>
      </c>
      <c r="O66" s="172">
        <f>IF(M66="Not Met","Needs compliance",IF(M66="Not Tested","Not yet tested",""))</f>
        <v/>
      </c>
      <c r="P66" s="173" t="n"/>
      <c r="Q66" s="175">
        <f>IF(N66="",0,I66)</f>
        <v/>
      </c>
      <c r="R66" s="175">
        <f>IF(N66="",0,I66*N66)</f>
        <v/>
      </c>
      <c r="S66" s="175">
        <f>IF(AND(H66="Yes",M66&lt;&gt;"Not Tested",N66&lt;&gt;"",N66&lt;1),1,0)</f>
        <v/>
      </c>
      <c r="T66" s="175" t="inlineStr">
        <is>
          <t>Criterion</t>
        </is>
      </c>
      <c r="U66" s="175" t="n"/>
      <c r="V66" s="175" t="n"/>
      <c r="W66" s="175">
        <f>IF(AND(T66="Criterion",I66&gt;0,M66&lt;&gt;"Not Tested",N66&lt;&gt;"",OR(N(N66)&lt;1,S66=1)),A66,"")</f>
        <v/>
      </c>
    </row>
    <row r="67" ht="179.5" customHeight="1" s="125">
      <c r="A67" s="172" t="inlineStr">
        <is>
          <t>TS1-16</t>
        </is>
      </c>
      <c r="B67" s="172" t="inlineStr">
        <is>
          <t>Patient matching</t>
        </is>
      </c>
      <c r="C67" s="172" t="inlineStr">
        <is>
          <t>Submitting a referral for an existing patient reuses the existing Patient record — no duplicate patient is created (moved from L4-08; Connectathon Issue #8)</t>
        </is>
      </c>
      <c r="D67" s="172" t="inlineStr">
        <is>
          <t xml:space="preserve">Match the patient on the SHR by the PH Core PhilSys / PhilHealth identifiers (validated in TS0-07) before creating one — e.g., conditional update 'PUT Patient?identifier=…' as in the IG example transaction (ExampleERefSubmissionBundle), or search then reuse. The matching method is the vendor's choice.
Purpose: One patient = one record across the network; duplicates split the clinical history.
</t>
        </is>
      </c>
      <c r="E67" s="172" t="inlineStr">
        <is>
          <t xml:space="preserve">Submit 3 referrals for the same test patient (Test Data Section A identifiers). Validator (server-side) searches Patient by identifier and counts the referrals linked to the single existing Patient.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7" s="172" t="inlineStr">
        <is>
          <t>SHR Patient search result + server-side evidence</t>
        </is>
      </c>
      <c r="G67" s="172" t="inlineStr">
        <is>
          <t>Validator (server-side check)</t>
        </is>
      </c>
      <c r="H67" s="188" t="inlineStr">
        <is>
          <t>Yes</t>
        </is>
      </c>
      <c r="I67" s="172" t="n">
        <v>2</v>
      </c>
      <c r="J67" s="172" t="inlineStr">
        <is>
          <t>Count</t>
        </is>
      </c>
      <c r="K67" s="192">
        <f>COUNTA(A68:A70)-COUNTIF(M68:M70,"N/A")</f>
        <v/>
      </c>
      <c r="L67" s="192">
        <f>COUNTIF(M68:M70,"Met")</f>
        <v/>
      </c>
      <c r="M67" s="192">
        <f>IF(COUNTIF(M68:M70,"N/A")=COUNTA(A68:A70),"N/A",IF(COUNTIF(M68:M70,"Not Tested")&gt;0,"Not Tested","Counted"))</f>
        <v/>
      </c>
      <c r="N67" s="191">
        <f>IF(M67="N/A",IF(H67="Yes",0,""),IF(M67="Not Tested",0,IF(J67="Tier",IF(M67="Fully integrated",1,IF(M67="Standalone - manual encoding",0.5,0)),IF(J67="Binary",IF(M67="Met",1,0),IF(M67="Counted",IF(N(K67)&gt;0,IF(J67="All-or-nothing",IF(N(L67)&gt;=K67,1,0),MIN(N(L67)/K67,1)),0),0)))))</f>
        <v/>
      </c>
      <c r="O67" s="172">
        <f>IF(COUNTIF(M68:M70,"Not Met")&gt;0,COUNTIF(M68:M70,"Not Met")&amp;" of "&amp;K67&amp;" need compliance: "&amp;_xlfn.TEXTJOIN("; ",TRUE(),U68:U70),IF(COUNTIF(M68:M70,"Not Tested")&gt;0,COUNTIF(M68:M70,"Not Tested")&amp;" of "&amp;COUNTA(A68:A70)&amp;" not yet tested",IF(M67="N/A","","All compliant")))</f>
        <v/>
      </c>
      <c r="P67" s="173" t="n"/>
      <c r="Q67" s="175">
        <f>IF(N67="",0,I67)</f>
        <v/>
      </c>
      <c r="R67" s="175">
        <f>IF(N67="",0,I67*N67)</f>
        <v/>
      </c>
      <c r="S67" s="175">
        <f>IF(OR(AND(H67="Yes",M67&lt;&gt;"Not Tested",N67&lt;&gt;"",N67&lt;1),COUNTIFS(H68:H70,"Yes",M68:M70,"Not Met")+COUNTIFS(H68:H70,"Yes",M68:M70,"N/A")&gt;0),1,0)</f>
        <v/>
      </c>
      <c r="T67" s="175" t="inlineStr">
        <is>
          <t>Criterion</t>
        </is>
      </c>
      <c r="U67" s="175" t="n"/>
      <c r="V67" s="175">
        <f>COUNTA(A68:A70)-COUNTIF(M68:M70,"Not Tested")</f>
        <v/>
      </c>
      <c r="W67" s="175">
        <f>IF(AND(T67="Criterion",I67&gt;0,M67&lt;&gt;"Not Tested",N67&lt;&gt;"",OR(N(N67)&lt;1,S67=1)),A67,"")</f>
        <v/>
      </c>
    </row>
    <row r="68" ht="29" customHeight="1" s="125">
      <c r="A68" s="193" t="inlineStr">
        <is>
          <t>TS1-16.1</t>
        </is>
      </c>
      <c r="B68" s="194" t="inlineStr">
        <is>
          <t>↳ sub-item</t>
        </is>
      </c>
      <c r="C68" s="193" t="inlineStr">
        <is>
          <t>Test referral #1 linked to the single existing Patient</t>
        </is>
      </c>
      <c r="D68" s="195" t="inlineStr">
        <is>
          <t>(part of TS1-16)</t>
        </is>
      </c>
      <c r="E68" s="196" t="n"/>
      <c r="F68" s="196" t="n"/>
      <c r="G68" s="196" t="n"/>
      <c r="H68" s="196" t="inlineStr">
        <is>
          <t>Yes</t>
        </is>
      </c>
      <c r="I68" s="196" t="n"/>
      <c r="J68" s="196" t="n"/>
      <c r="K68" s="196" t="n"/>
      <c r="L68" s="196" t="n"/>
      <c r="M68" s="197" t="inlineStr">
        <is>
          <t>Not Tested</t>
        </is>
      </c>
      <c r="N68" s="196" t="n"/>
      <c r="O68" s="193">
        <f>IF(M68="Not Met","Needs compliance",IF(M68="Not Tested","Not yet tested",""))</f>
        <v/>
      </c>
      <c r="P68" s="166" t="n"/>
      <c r="T68" s="124" t="inlineStr">
        <is>
          <t>Sub</t>
        </is>
      </c>
      <c r="U68" s="124">
        <f>IF(M68="Not Met","("&amp;1&amp;") "&amp;IF(H68="Yes","★ ","")&amp;C68,"")</f>
        <v/>
      </c>
    </row>
    <row r="69" ht="29" customHeight="1" s="125">
      <c r="A69" s="193" t="inlineStr">
        <is>
          <t>TS1-16.2</t>
        </is>
      </c>
      <c r="B69" s="194" t="inlineStr">
        <is>
          <t>↳ sub-item</t>
        </is>
      </c>
      <c r="C69" s="193" t="inlineStr">
        <is>
          <t>Test referral #2 linked to the single existing Patient</t>
        </is>
      </c>
      <c r="D69" s="195" t="inlineStr">
        <is>
          <t>(part of TS1-16)</t>
        </is>
      </c>
      <c r="E69" s="196" t="n"/>
      <c r="F69" s="196" t="n"/>
      <c r="G69" s="196" t="n"/>
      <c r="H69" s="196" t="inlineStr">
        <is>
          <t>Yes</t>
        </is>
      </c>
      <c r="I69" s="196" t="n"/>
      <c r="J69" s="196" t="n"/>
      <c r="K69" s="196" t="n"/>
      <c r="L69" s="196" t="n"/>
      <c r="M69" s="197" t="inlineStr">
        <is>
          <t>Not Tested</t>
        </is>
      </c>
      <c r="N69" s="196" t="n"/>
      <c r="O69" s="193">
        <f>IF(M69="Not Met","Needs compliance",IF(M69="Not Tested","Not yet tested",""))</f>
        <v/>
      </c>
      <c r="P69" s="166" t="n"/>
      <c r="T69" s="124" t="inlineStr">
        <is>
          <t>Sub</t>
        </is>
      </c>
      <c r="U69" s="124">
        <f>IF(M69="Not Met","("&amp;2&amp;") "&amp;IF(H69="Yes","★ ","")&amp;C69,"")</f>
        <v/>
      </c>
    </row>
    <row r="70" ht="29" customHeight="1" s="125">
      <c r="A70" s="193" t="inlineStr">
        <is>
          <t>TS1-16.3</t>
        </is>
      </c>
      <c r="B70" s="194" t="inlineStr">
        <is>
          <t>↳ sub-item</t>
        </is>
      </c>
      <c r="C70" s="193" t="inlineStr">
        <is>
          <t>Test referral #3 linked to the single existing Patient</t>
        </is>
      </c>
      <c r="D70" s="195" t="inlineStr">
        <is>
          <t>(part of TS1-16)</t>
        </is>
      </c>
      <c r="E70" s="196" t="n"/>
      <c r="F70" s="196" t="n"/>
      <c r="G70" s="196" t="n"/>
      <c r="H70" s="196" t="inlineStr">
        <is>
          <t>Yes</t>
        </is>
      </c>
      <c r="I70" s="196" t="n"/>
      <c r="J70" s="196" t="n"/>
      <c r="K70" s="196" t="n"/>
      <c r="L70" s="196" t="n"/>
      <c r="M70" s="197" t="inlineStr">
        <is>
          <t>Not Tested</t>
        </is>
      </c>
      <c r="N70" s="196" t="n"/>
      <c r="O70" s="193">
        <f>IF(M70="Not Met","Needs compliance",IF(M70="Not Tested","Not yet tested",""))</f>
        <v/>
      </c>
      <c r="P70" s="166" t="n"/>
      <c r="T70" s="124" t="inlineStr">
        <is>
          <t>Sub</t>
        </is>
      </c>
      <c r="U70" s="124">
        <f>IF(M70="Not Met","("&amp;3&amp;") "&amp;IF(H70="Yes","★ ","")&amp;C70,"")</f>
        <v/>
      </c>
    </row>
    <row r="71" ht="125.5" customHeight="1" s="125">
      <c r="A71" s="172" t="inlineStr">
        <is>
          <t>TS1-T.01</t>
        </is>
      </c>
      <c r="B71" s="172" t="inlineStr">
        <is>
          <t>Transaction</t>
        </is>
      </c>
      <c r="C71" s="172" t="inlineStr">
        <is>
          <t>The complete referral is accepted by the SHR (no error response)</t>
        </is>
      </c>
      <c r="D71" s="172" t="inlineStr">
        <is>
          <t xml:space="preserve">Send the complete referral to the SHR — as one FHIR transaction Bundle (recommended) or by the interactions declared in L1-03 — and handle success and error responses.
Purpose: The whole referral arrives in one piece.
</t>
        </is>
      </c>
      <c r="E71" s="172" t="inlineStr">
        <is>
          <t xml:space="preserve">Submit the Test Data referral; Met if the server-side evidence shows a success response (HTTP 200 / 201) for every resource of the referral.
Server-side evidence — any ONE of: (a) Interoperability Layer transaction log (e.g., OpenHIM), (b) Inferno / official FHIR validator report, or (c) the raw FHIR request / response payload provided by the developer and captured during the session.
</t>
        </is>
      </c>
      <c r="F71" s="172" t="inlineStr">
        <is>
          <t>Server response with status code (IOL log or raw payload)</t>
        </is>
      </c>
      <c r="G71" s="172" t="inlineStr">
        <is>
          <t>Validator (server-side check)</t>
        </is>
      </c>
      <c r="H71" s="188" t="inlineStr">
        <is>
          <t>Yes</t>
        </is>
      </c>
      <c r="I71" s="172" t="n">
        <v>2</v>
      </c>
      <c r="J71" s="172" t="inlineStr">
        <is>
          <t>Binary</t>
        </is>
      </c>
      <c r="K71" s="192" t="n"/>
      <c r="L71" s="192" t="n"/>
      <c r="M71" s="192" t="inlineStr">
        <is>
          <t>Not Tested</t>
        </is>
      </c>
      <c r="N71" s="191">
        <f>IF(M71="N/A",IF(H71="Yes",0,""),IF(M71="Not Tested",0,IF(J71="Tier",IF(M71="Fully integrated",1,IF(M71="Standalone - manual encoding",0.5,0)),IF(J71="Binary",IF(M71="Met",1,0),IF(M71="Counted",IF(N(K71)&gt;0,IF(J71="All-or-nothing",IF(N(L71)&gt;=K71,1,0),MIN(N(L71)/K71,1)),0),0)))))</f>
        <v/>
      </c>
      <c r="O71" s="172">
        <f>IF(M71="Not Met","Needs compliance",IF(M71="Not Tested","Not yet tested",""))</f>
        <v/>
      </c>
      <c r="P71" s="173" t="n"/>
      <c r="Q71" s="175">
        <f>IF(N71="",0,I71)</f>
        <v/>
      </c>
      <c r="R71" s="175">
        <f>IF(N71="",0,I71*N71)</f>
        <v/>
      </c>
      <c r="S71" s="175">
        <f>IF(AND(H71="Yes",M71&lt;&gt;"Not Tested",N71&lt;&gt;"",N71&lt;1),1,0)</f>
        <v/>
      </c>
      <c r="T71" s="175" t="inlineStr">
        <is>
          <t>Criterion</t>
        </is>
      </c>
      <c r="U71" s="175" t="n"/>
      <c r="V71" s="175" t="n"/>
      <c r="W71" s="175">
        <f>IF(AND(T71="Criterion",I71&gt;0,M71&lt;&gt;"Not Tested",N71&lt;&gt;"",OR(N(N71)&lt;1,S71=1)),A71,"")</f>
        <v/>
      </c>
    </row>
    <row r="72" ht="112" customHeight="1" s="125">
      <c r="A72" s="172" t="inlineStr">
        <is>
          <t>TS1-T.02</t>
        </is>
      </c>
      <c r="B72" s="172" t="inlineStr">
        <is>
          <t>Transaction</t>
        </is>
      </c>
      <c r="C72" s="172" t="inlineStr">
        <is>
          <t>The submitted referral passes validation against the PHeReF / PH Core profiles with 0 errors</t>
        </is>
      </c>
      <c r="D72" s="172" t="inlineStr">
        <is>
          <t xml:space="preserve">Validate outgoing resources against the PHeReF / PH Core profiles (e.g., $validate, the HL7 validator or Inferno) during development until 0 errors.
Purpose: The data follows the national standard, not just the vendor's format.
</t>
        </is>
      </c>
      <c r="E72" s="172" t="inlineStr">
        <is>
          <t>Run $validate / the official validator / Inferno on the submitted referral (or accept the developer's validator report produced on the same payload during the session). Met only if 0 errors.</t>
        </is>
      </c>
      <c r="F72" s="172" t="inlineStr">
        <is>
          <t>Validator report showing 0 errors</t>
        </is>
      </c>
      <c r="G72" s="172" t="inlineStr">
        <is>
          <t>Validator (server-side check)</t>
        </is>
      </c>
      <c r="H72" s="188" t="inlineStr">
        <is>
          <t>Yes</t>
        </is>
      </c>
      <c r="I72" s="172" t="n">
        <v>2</v>
      </c>
      <c r="J72" s="172" t="inlineStr">
        <is>
          <t>Binary</t>
        </is>
      </c>
      <c r="K72" s="192" t="n"/>
      <c r="L72" s="192" t="n"/>
      <c r="M72" s="192" t="inlineStr">
        <is>
          <t>Not Tested</t>
        </is>
      </c>
      <c r="N72" s="191">
        <f>IF(M72="N/A",IF(H72="Yes",0,""),IF(M72="Not Tested",0,IF(J72="Tier",IF(M72="Fully integrated",1,IF(M72="Standalone - manual encoding",0.5,0)),IF(J72="Binary",IF(M72="Met",1,0),IF(M72="Counted",IF(N(K72)&gt;0,IF(J72="All-or-nothing",IF(N(L72)&gt;=K72,1,0),MIN(N(L72)/K72,1)),0),0)))))</f>
        <v/>
      </c>
      <c r="O72" s="172">
        <f>IF(M72="Not Met","Needs compliance",IF(M72="Not Tested","Not yet tested",""))</f>
        <v/>
      </c>
      <c r="P72" s="173" t="n"/>
      <c r="Q72" s="175">
        <f>IF(N72="",0,I72)</f>
        <v/>
      </c>
      <c r="R72" s="175">
        <f>IF(N72="",0,I72*N72)</f>
        <v/>
      </c>
      <c r="S72" s="175">
        <f>IF(AND(H72="Yes",M72&lt;&gt;"Not Tested",N72&lt;&gt;"",N72&lt;1),1,0)</f>
        <v/>
      </c>
      <c r="T72" s="175" t="inlineStr">
        <is>
          <t>Criterion</t>
        </is>
      </c>
      <c r="U72" s="175" t="n"/>
      <c r="V72" s="175" t="n"/>
      <c r="W72" s="175">
        <f>IF(AND(T72="Criterion",I72&gt;0,M72&lt;&gt;"Not Tested",N72&lt;&gt;"",OR(N(N72)&lt;1,S72=1)),A72,"")</f>
        <v/>
      </c>
    </row>
    <row r="73" ht="85" customHeight="1" s="125">
      <c r="A73" s="172" t="inlineStr">
        <is>
          <t>TS1-T.03</t>
        </is>
      </c>
      <c r="B73" s="172" t="inlineStr">
        <is>
          <t>Transaction</t>
        </is>
      </c>
      <c r="C73" s="172" t="inlineStr">
        <is>
          <t>Each resource declares its PH Core / PHeReF profile (meta.profile) (Connectathon Issue #25)</t>
        </is>
      </c>
      <c r="D73" s="172" t="inlineStr">
        <is>
          <t xml:space="preserve">Populate meta.profile of each resource with the canonical URL of its PH Core / PHeReF profile.
Purpose: Lets the server check the data against the correct rules.
</t>
        </is>
      </c>
      <c r="E73" s="172" t="inlineStr">
        <is>
          <t xml:space="preserve">Count the resource types in the submitted referral that declare the correct profile.
Mark each sub-item (↳) below; Achieved is counted automatically. ★ = critical sub-item: if it is Not Met (or N/A) the criterion counts as a critical failure.
</t>
        </is>
      </c>
      <c r="F73" s="172" t="inlineStr">
        <is>
          <t>Bundle excerpt / raw payload</t>
        </is>
      </c>
      <c r="G73" s="172" t="inlineStr">
        <is>
          <t>Validator (server-side check)</t>
        </is>
      </c>
      <c r="H73" s="188" t="inlineStr">
        <is>
          <t>No</t>
        </is>
      </c>
      <c r="I73" s="172" t="n">
        <v>1</v>
      </c>
      <c r="J73" s="172" t="inlineStr">
        <is>
          <t>Count</t>
        </is>
      </c>
      <c r="K73" s="192">
        <f>COUNTA(A74:A86)-COUNTIF(M74:M86,"N/A")</f>
        <v/>
      </c>
      <c r="L73" s="192">
        <f>COUNTIF(M74:M86,"Met")</f>
        <v/>
      </c>
      <c r="M73" s="192">
        <f>IF(COUNTIF(M74:M86,"N/A")=COUNTA(A74:A86),"N/A",IF(COUNTIF(M74:M86,"Not Tested")&gt;0,"Not Tested","Counted"))</f>
        <v/>
      </c>
      <c r="N73" s="191">
        <f>IF(M73="N/A",IF(H73="Yes",0,""),IF(M73="Not Tested",0,IF(J73="Tier",IF(M73="Fully integrated",1,IF(M73="Standalone - manual encoding",0.5,0)),IF(J73="Binary",IF(M73="Met",1,0),IF(M73="Counted",IF(N(K73)&gt;0,IF(J73="All-or-nothing",IF(N(L73)&gt;=K73,1,0),MIN(N(L73)/K73,1)),0),0)))))</f>
        <v/>
      </c>
      <c r="O73" s="172">
        <f>IF(COUNTIF(M74:M86,"Not Met")&gt;0,COUNTIF(M74:M86,"Not Met")&amp;" of "&amp;K73&amp;" need compliance: "&amp;_xlfn.TEXTJOIN("; ",TRUE(),U74:U86),IF(COUNTIF(M74:M86,"Not Tested")&gt;0,COUNTIF(M74:M86,"Not Tested")&amp;" of "&amp;COUNTA(A74:A86)&amp;" not yet tested",IF(M73="N/A","","All compliant")))</f>
        <v/>
      </c>
      <c r="P73" s="173" t="n"/>
      <c r="Q73" s="175">
        <f>IF(N73="",0,I73)</f>
        <v/>
      </c>
      <c r="R73" s="175">
        <f>IF(N73="",0,I73*N73)</f>
        <v/>
      </c>
      <c r="S73" s="175">
        <f>IF(OR(AND(H73="Yes",M73&lt;&gt;"Not Tested",N73&lt;&gt;"",N73&lt;1),COUNTIFS(H74:H86,"Yes",M74:M86,"Not Met")+COUNTIFS(H74:H86,"Yes",M74:M86,"N/A")&gt;0),1,0)</f>
        <v/>
      </c>
      <c r="T73" s="175" t="inlineStr">
        <is>
          <t>Criterion</t>
        </is>
      </c>
      <c r="U73" s="175" t="n"/>
      <c r="V73" s="175">
        <f>COUNTA(A74:A86)-COUNTIF(M74:M86,"Not Tested")</f>
        <v/>
      </c>
      <c r="W73" s="175">
        <f>IF(AND(T73="Criterion",I73&gt;0,M73&lt;&gt;"Not Tested",N73&lt;&gt;"",OR(N(N73)&lt;1,S73=1)),A73,"")</f>
        <v/>
      </c>
    </row>
    <row r="74" ht="29" customHeight="1" s="125">
      <c r="A74" s="193" t="inlineStr">
        <is>
          <t>TS1-T.03.1</t>
        </is>
      </c>
      <c r="B74" s="194" t="inlineStr">
        <is>
          <t>↳ sub-item</t>
        </is>
      </c>
      <c r="C74" s="193" t="inlineStr">
        <is>
          <t>Organization declares its PH Core / PHeReF profile</t>
        </is>
      </c>
      <c r="D74" s="195" t="inlineStr">
        <is>
          <t>(part of TS1-T.03)</t>
        </is>
      </c>
      <c r="E74" s="196" t="n"/>
      <c r="F74" s="196" t="n"/>
      <c r="G74" s="196" t="n"/>
      <c r="H74" s="196" t="n"/>
      <c r="I74" s="196" t="n"/>
      <c r="J74" s="196" t="n"/>
      <c r="K74" s="196" t="n"/>
      <c r="L74" s="196" t="n"/>
      <c r="M74" s="197" t="inlineStr">
        <is>
          <t>Not Tested</t>
        </is>
      </c>
      <c r="N74" s="196" t="n"/>
      <c r="O74" s="193">
        <f>IF(M74="Not Met","Needs compliance",IF(M74="Not Tested","Not yet tested",""))</f>
        <v/>
      </c>
      <c r="P74" s="166" t="n"/>
      <c r="T74" s="124" t="inlineStr">
        <is>
          <t>Sub</t>
        </is>
      </c>
      <c r="U74" s="124">
        <f>IF(M74="Not Met","("&amp;1&amp;") "&amp;IF(H74="Yes","★ ","")&amp;C74,"")</f>
        <v/>
      </c>
    </row>
    <row r="75" ht="29" customHeight="1" s="125">
      <c r="A75" s="193" t="inlineStr">
        <is>
          <t>TS1-T.03.2</t>
        </is>
      </c>
      <c r="B75" s="194" t="inlineStr">
        <is>
          <t>↳ sub-item</t>
        </is>
      </c>
      <c r="C75" s="193" t="inlineStr">
        <is>
          <t>Practitioner declares its PH Core / PHeReF profile</t>
        </is>
      </c>
      <c r="D75" s="195" t="inlineStr">
        <is>
          <t>(part of TS1-T.03)</t>
        </is>
      </c>
      <c r="E75" s="196" t="n"/>
      <c r="F75" s="196" t="n"/>
      <c r="G75" s="196" t="n"/>
      <c r="H75" s="196" t="n"/>
      <c r="I75" s="196" t="n"/>
      <c r="J75" s="196" t="n"/>
      <c r="K75" s="196" t="n"/>
      <c r="L75" s="196" t="n"/>
      <c r="M75" s="197" t="inlineStr">
        <is>
          <t>Not Tested</t>
        </is>
      </c>
      <c r="N75" s="196" t="n"/>
      <c r="O75" s="193">
        <f>IF(M75="Not Met","Needs compliance",IF(M75="Not Tested","Not yet tested",""))</f>
        <v/>
      </c>
      <c r="P75" s="166" t="n"/>
      <c r="T75" s="124" t="inlineStr">
        <is>
          <t>Sub</t>
        </is>
      </c>
      <c r="U75" s="124">
        <f>IF(M75="Not Met","("&amp;2&amp;") "&amp;IF(H75="Yes","★ ","")&amp;C75,"")</f>
        <v/>
      </c>
    </row>
    <row r="76" ht="29" customHeight="1" s="125">
      <c r="A76" s="193" t="inlineStr">
        <is>
          <t>TS1-T.03.3</t>
        </is>
      </c>
      <c r="B76" s="194" t="inlineStr">
        <is>
          <t>↳ sub-item</t>
        </is>
      </c>
      <c r="C76" s="193" t="inlineStr">
        <is>
          <t>PractitionerRole declares its PH Core / PHeReF profile</t>
        </is>
      </c>
      <c r="D76" s="195" t="inlineStr">
        <is>
          <t>(part of TS1-T.03)</t>
        </is>
      </c>
      <c r="E76" s="196" t="n"/>
      <c r="F76" s="196" t="n"/>
      <c r="G76" s="196" t="n"/>
      <c r="H76" s="196" t="n"/>
      <c r="I76" s="196" t="n"/>
      <c r="J76" s="196" t="n"/>
      <c r="K76" s="196" t="n"/>
      <c r="L76" s="196" t="n"/>
      <c r="M76" s="197" t="inlineStr">
        <is>
          <t>Not Tested</t>
        </is>
      </c>
      <c r="N76" s="196" t="n"/>
      <c r="O76" s="193">
        <f>IF(M76="Not Met","Needs compliance",IF(M76="Not Tested","Not yet tested",""))</f>
        <v/>
      </c>
      <c r="P76" s="166" t="n"/>
      <c r="T76" s="124" t="inlineStr">
        <is>
          <t>Sub</t>
        </is>
      </c>
      <c r="U76" s="124">
        <f>IF(M76="Not Met","("&amp;3&amp;") "&amp;IF(H76="Yes","★ ","")&amp;C76,"")</f>
        <v/>
      </c>
    </row>
    <row r="77" ht="29" customHeight="1" s="125">
      <c r="A77" s="193" t="inlineStr">
        <is>
          <t>TS1-T.03.4</t>
        </is>
      </c>
      <c r="B77" s="194" t="inlineStr">
        <is>
          <t>↳ sub-item</t>
        </is>
      </c>
      <c r="C77" s="193" t="inlineStr">
        <is>
          <t>Patient declares its PH Core / PHeReF profile</t>
        </is>
      </c>
      <c r="D77" s="195" t="inlineStr">
        <is>
          <t>(part of TS1-T.03)</t>
        </is>
      </c>
      <c r="E77" s="196" t="n"/>
      <c r="F77" s="196" t="n"/>
      <c r="G77" s="196" t="n"/>
      <c r="H77" s="196" t="n"/>
      <c r="I77" s="196" t="n"/>
      <c r="J77" s="196" t="n"/>
      <c r="K77" s="196" t="n"/>
      <c r="L77" s="196" t="n"/>
      <c r="M77" s="197" t="inlineStr">
        <is>
          <t>Not Tested</t>
        </is>
      </c>
      <c r="N77" s="196" t="n"/>
      <c r="O77" s="193">
        <f>IF(M77="Not Met","Needs compliance",IF(M77="Not Tested","Not yet tested",""))</f>
        <v/>
      </c>
      <c r="P77" s="166" t="n"/>
      <c r="T77" s="124" t="inlineStr">
        <is>
          <t>Sub</t>
        </is>
      </c>
      <c r="U77" s="124">
        <f>IF(M77="Not Met","("&amp;4&amp;") "&amp;IF(H77="Yes","★ ","")&amp;C77,"")</f>
        <v/>
      </c>
    </row>
    <row r="78" ht="42.5" customHeight="1" s="125">
      <c r="A78" s="193" t="inlineStr">
        <is>
          <t>TS1-T.03.5</t>
        </is>
      </c>
      <c r="B78" s="194" t="inlineStr">
        <is>
          <t>↳ sub-item</t>
        </is>
      </c>
      <c r="C78" s="193" t="inlineStr">
        <is>
          <t>RelatedPerson (N/A if Patient.contact is used) declares its PH Core / PHeReF profile</t>
        </is>
      </c>
      <c r="D78" s="195" t="inlineStr">
        <is>
          <t>(part of TS1-T.03)</t>
        </is>
      </c>
      <c r="E78" s="196" t="n"/>
      <c r="F78" s="196" t="n"/>
      <c r="G78" s="196" t="n"/>
      <c r="H78" s="196" t="n"/>
      <c r="I78" s="196" t="n"/>
      <c r="J78" s="196" t="n"/>
      <c r="K78" s="196" t="n"/>
      <c r="L78" s="196" t="n"/>
      <c r="M78" s="197" t="inlineStr">
        <is>
          <t>Not Tested</t>
        </is>
      </c>
      <c r="N78" s="196" t="n"/>
      <c r="O78" s="193">
        <f>IF(M78="Not Met","Needs compliance",IF(M78="Not Tested","Not yet tested",""))</f>
        <v/>
      </c>
      <c r="P78" s="166" t="n"/>
      <c r="T78" s="124" t="inlineStr">
        <is>
          <t>Sub</t>
        </is>
      </c>
      <c r="U78" s="124">
        <f>IF(M78="Not Met","("&amp;5&amp;") "&amp;IF(H78="Yes","★ ","")&amp;C78,"")</f>
        <v/>
      </c>
    </row>
    <row r="79" ht="29" customHeight="1" s="125">
      <c r="A79" s="193" t="inlineStr">
        <is>
          <t>TS1-T.03.6</t>
        </is>
      </c>
      <c r="B79" s="194" t="inlineStr">
        <is>
          <t>↳ sub-item</t>
        </is>
      </c>
      <c r="C79" s="193" t="inlineStr">
        <is>
          <t>ServiceRequest declares its PH Core / PHeReF profile</t>
        </is>
      </c>
      <c r="D79" s="195" t="inlineStr">
        <is>
          <t>(part of TS1-T.03)</t>
        </is>
      </c>
      <c r="E79" s="196" t="n"/>
      <c r="F79" s="196" t="n"/>
      <c r="G79" s="196" t="n"/>
      <c r="H79" s="196" t="n"/>
      <c r="I79" s="196" t="n"/>
      <c r="J79" s="196" t="n"/>
      <c r="K79" s="196" t="n"/>
      <c r="L79" s="196" t="n"/>
      <c r="M79" s="197" t="inlineStr">
        <is>
          <t>Not Tested</t>
        </is>
      </c>
      <c r="N79" s="196" t="n"/>
      <c r="O79" s="193">
        <f>IF(M79="Not Met","Needs compliance",IF(M79="Not Tested","Not yet tested",""))</f>
        <v/>
      </c>
      <c r="P79" s="166" t="n"/>
      <c r="T79" s="124" t="inlineStr">
        <is>
          <t>Sub</t>
        </is>
      </c>
      <c r="U79" s="124">
        <f>IF(M79="Not Met","("&amp;6&amp;") "&amp;IF(H79="Yes","★ ","")&amp;C79,"")</f>
        <v/>
      </c>
    </row>
    <row r="80" ht="29" customHeight="1" s="125">
      <c r="A80" s="193" t="inlineStr">
        <is>
          <t>TS1-T.03.7</t>
        </is>
      </c>
      <c r="B80" s="194" t="inlineStr">
        <is>
          <t>↳ sub-item</t>
        </is>
      </c>
      <c r="C80" s="193" t="inlineStr">
        <is>
          <t>Task declares its PH Core / PHeReF profile</t>
        </is>
      </c>
      <c r="D80" s="195" t="inlineStr">
        <is>
          <t>(part of TS1-T.03)</t>
        </is>
      </c>
      <c r="E80" s="196" t="n"/>
      <c r="F80" s="196" t="n"/>
      <c r="G80" s="196" t="n"/>
      <c r="H80" s="196" t="n"/>
      <c r="I80" s="196" t="n"/>
      <c r="J80" s="196" t="n"/>
      <c r="K80" s="196" t="n"/>
      <c r="L80" s="196" t="n"/>
      <c r="M80" s="197" t="inlineStr">
        <is>
          <t>Not Tested</t>
        </is>
      </c>
      <c r="N80" s="196" t="n"/>
      <c r="O80" s="193">
        <f>IF(M80="Not Met","Needs compliance",IF(M80="Not Tested","Not yet tested",""))</f>
        <v/>
      </c>
      <c r="P80" s="166" t="n"/>
      <c r="T80" s="124" t="inlineStr">
        <is>
          <t>Sub</t>
        </is>
      </c>
      <c r="U80" s="124">
        <f>IF(M80="Not Met","("&amp;7&amp;") "&amp;IF(H80="Yes","★ ","")&amp;C80,"")</f>
        <v/>
      </c>
    </row>
    <row r="81" ht="29" customHeight="1" s="125">
      <c r="A81" s="193" t="inlineStr">
        <is>
          <t>TS1-T.03.8</t>
        </is>
      </c>
      <c r="B81" s="194" t="inlineStr">
        <is>
          <t>↳ sub-item</t>
        </is>
      </c>
      <c r="C81" s="193" t="inlineStr">
        <is>
          <t>Condition declares its PH Core / PHeReF profile</t>
        </is>
      </c>
      <c r="D81" s="195" t="inlineStr">
        <is>
          <t>(part of TS1-T.03)</t>
        </is>
      </c>
      <c r="E81" s="196" t="n"/>
      <c r="F81" s="196" t="n"/>
      <c r="G81" s="196" t="n"/>
      <c r="H81" s="196" t="n"/>
      <c r="I81" s="196" t="n"/>
      <c r="J81" s="196" t="n"/>
      <c r="K81" s="196" t="n"/>
      <c r="L81" s="196" t="n"/>
      <c r="M81" s="197" t="inlineStr">
        <is>
          <t>Not Tested</t>
        </is>
      </c>
      <c r="N81" s="196" t="n"/>
      <c r="O81" s="193">
        <f>IF(M81="Not Met","Needs compliance",IF(M81="Not Tested","Not yet tested",""))</f>
        <v/>
      </c>
      <c r="P81" s="166" t="n"/>
      <c r="T81" s="124" t="inlineStr">
        <is>
          <t>Sub</t>
        </is>
      </c>
      <c r="U81" s="124">
        <f>IF(M81="Not Met","("&amp;8&amp;") "&amp;IF(H81="Yes","★ ","")&amp;C81,"")</f>
        <v/>
      </c>
    </row>
    <row r="82" ht="29" customHeight="1" s="125">
      <c r="A82" s="193" t="inlineStr">
        <is>
          <t>TS1-T.03.9</t>
        </is>
      </c>
      <c r="B82" s="194" t="inlineStr">
        <is>
          <t>↳ sub-item</t>
        </is>
      </c>
      <c r="C82" s="193" t="inlineStr">
        <is>
          <t>Observation declares its PH Core / PHeReF profile</t>
        </is>
      </c>
      <c r="D82" s="195" t="inlineStr">
        <is>
          <t>(part of TS1-T.03)</t>
        </is>
      </c>
      <c r="E82" s="196" t="n"/>
      <c r="F82" s="196" t="n"/>
      <c r="G82" s="196" t="n"/>
      <c r="H82" s="196" t="n"/>
      <c r="I82" s="196" t="n"/>
      <c r="J82" s="196" t="n"/>
      <c r="K82" s="196" t="n"/>
      <c r="L82" s="196" t="n"/>
      <c r="M82" s="197" t="inlineStr">
        <is>
          <t>Not Tested</t>
        </is>
      </c>
      <c r="N82" s="196" t="n"/>
      <c r="O82" s="193">
        <f>IF(M82="Not Met","Needs compliance",IF(M82="Not Tested","Not yet tested",""))</f>
        <v/>
      </c>
      <c r="P82" s="166" t="n"/>
      <c r="T82" s="124" t="inlineStr">
        <is>
          <t>Sub</t>
        </is>
      </c>
      <c r="U82" s="124">
        <f>IF(M82="Not Met","("&amp;9&amp;") "&amp;IF(H82="Yes","★ ","")&amp;C82,"")</f>
        <v/>
      </c>
    </row>
    <row r="83" ht="29" customHeight="1" s="125">
      <c r="A83" s="193" t="inlineStr">
        <is>
          <t>TS1-T.03.10</t>
        </is>
      </c>
      <c r="B83" s="194" t="inlineStr">
        <is>
          <t>↳ sub-item</t>
        </is>
      </c>
      <c r="C83" s="193" t="inlineStr">
        <is>
          <t>DiagnosticReport declares its PH Core / PHeReF profile</t>
        </is>
      </c>
      <c r="D83" s="195" t="inlineStr">
        <is>
          <t>(part of TS1-T.03)</t>
        </is>
      </c>
      <c r="E83" s="196" t="n"/>
      <c r="F83" s="196" t="n"/>
      <c r="G83" s="196" t="n"/>
      <c r="H83" s="196" t="n"/>
      <c r="I83" s="196" t="n"/>
      <c r="J83" s="196" t="n"/>
      <c r="K83" s="196" t="n"/>
      <c r="L83" s="196" t="n"/>
      <c r="M83" s="197" t="inlineStr">
        <is>
          <t>Not Tested</t>
        </is>
      </c>
      <c r="N83" s="196" t="n"/>
      <c r="O83" s="193">
        <f>IF(M83="Not Met","Needs compliance",IF(M83="Not Tested","Not yet tested",""))</f>
        <v/>
      </c>
      <c r="P83" s="166" t="n"/>
      <c r="T83" s="124" t="inlineStr">
        <is>
          <t>Sub</t>
        </is>
      </c>
      <c r="U83" s="124">
        <f>IF(M83="Not Met","("&amp;10&amp;") "&amp;IF(H83="Yes","★ ","")&amp;C83,"")</f>
        <v/>
      </c>
    </row>
    <row r="84" ht="29" customHeight="1" s="125">
      <c r="A84" s="193" t="inlineStr">
        <is>
          <t>TS1-T.03.11</t>
        </is>
      </c>
      <c r="B84" s="194" t="inlineStr">
        <is>
          <t>↳ sub-item</t>
        </is>
      </c>
      <c r="C84" s="193" t="inlineStr">
        <is>
          <t>MedicationAdministration or Procedure declares its PH Core / PHeReF profile</t>
        </is>
      </c>
      <c r="D84" s="195" t="inlineStr">
        <is>
          <t>(part of TS1-T.03)</t>
        </is>
      </c>
      <c r="E84" s="196" t="n"/>
      <c r="F84" s="196" t="n"/>
      <c r="G84" s="196" t="n"/>
      <c r="H84" s="196" t="n"/>
      <c r="I84" s="196" t="n"/>
      <c r="J84" s="196" t="n"/>
      <c r="K84" s="196" t="n"/>
      <c r="L84" s="196" t="n"/>
      <c r="M84" s="197" t="inlineStr">
        <is>
          <t>Not Tested</t>
        </is>
      </c>
      <c r="N84" s="196" t="n"/>
      <c r="O84" s="193">
        <f>IF(M84="Not Met","Needs compliance",IF(M84="Not Tested","Not yet tested",""))</f>
        <v/>
      </c>
      <c r="P84" s="166" t="n"/>
      <c r="T84" s="124" t="inlineStr">
        <is>
          <t>Sub</t>
        </is>
      </c>
      <c r="U84" s="124">
        <f>IF(M84="Not Met","("&amp;11&amp;") "&amp;IF(H84="Yes","★ ","")&amp;C84,"")</f>
        <v/>
      </c>
    </row>
    <row r="85" ht="29" customHeight="1" s="125">
      <c r="A85" s="193" t="inlineStr">
        <is>
          <t>TS1-T.03.12</t>
        </is>
      </c>
      <c r="B85" s="194" t="inlineStr">
        <is>
          <t>↳ sub-item</t>
        </is>
      </c>
      <c r="C85" s="193" t="inlineStr">
        <is>
          <t>Provenance declares its PH Core / PHeReF profile</t>
        </is>
      </c>
      <c r="D85" s="195" t="inlineStr">
        <is>
          <t>(part of TS1-T.03)</t>
        </is>
      </c>
      <c r="E85" s="196" t="n"/>
      <c r="F85" s="196" t="n"/>
      <c r="G85" s="196" t="n"/>
      <c r="H85" s="196" t="n"/>
      <c r="I85" s="196" t="n"/>
      <c r="J85" s="196" t="n"/>
      <c r="K85" s="196" t="n"/>
      <c r="L85" s="196" t="n"/>
      <c r="M85" s="197" t="inlineStr">
        <is>
          <t>Not Tested</t>
        </is>
      </c>
      <c r="N85" s="196" t="n"/>
      <c r="O85" s="193">
        <f>IF(M85="Not Met","Needs compliance",IF(M85="Not Tested","Not yet tested",""))</f>
        <v/>
      </c>
      <c r="P85" s="166" t="n"/>
      <c r="T85" s="124" t="inlineStr">
        <is>
          <t>Sub</t>
        </is>
      </c>
      <c r="U85" s="124">
        <f>IF(M85="Not Met","("&amp;12&amp;") "&amp;IF(H85="Yes","★ ","")&amp;C85,"")</f>
        <v/>
      </c>
    </row>
    <row r="86" ht="29" customHeight="1" s="125">
      <c r="A86" s="193" t="inlineStr">
        <is>
          <t>TS1-T.03.13</t>
        </is>
      </c>
      <c r="B86" s="194" t="inlineStr">
        <is>
          <t>↳ sub-item</t>
        </is>
      </c>
      <c r="C86" s="193" t="inlineStr">
        <is>
          <t>Encounter declares its PH Core / PHeReF profile</t>
        </is>
      </c>
      <c r="D86" s="195" t="inlineStr">
        <is>
          <t>(part of TS1-T.03)</t>
        </is>
      </c>
      <c r="E86" s="196" t="n"/>
      <c r="F86" s="196" t="n"/>
      <c r="G86" s="196" t="n"/>
      <c r="H86" s="196" t="n"/>
      <c r="I86" s="196" t="n"/>
      <c r="J86" s="196" t="n"/>
      <c r="K86" s="196" t="n"/>
      <c r="L86" s="196" t="n"/>
      <c r="M86" s="197" t="inlineStr">
        <is>
          <t>Not Tested</t>
        </is>
      </c>
      <c r="N86" s="196" t="n"/>
      <c r="O86" s="193">
        <f>IF(M86="Not Met","Needs compliance",IF(M86="Not Tested","Not yet tested",""))</f>
        <v/>
      </c>
      <c r="P86" s="166" t="n"/>
      <c r="T86" s="124" t="inlineStr">
        <is>
          <t>Sub</t>
        </is>
      </c>
      <c r="U86" s="124">
        <f>IF(M86="Not Met","("&amp;13&amp;") "&amp;IF(H86="Yes","★ ","")&amp;C86,"")</f>
        <v/>
      </c>
    </row>
    <row r="87" ht="139" customHeight="1" s="125">
      <c r="A87" s="172" t="inlineStr">
        <is>
          <t>TS1-T.04</t>
        </is>
      </c>
      <c r="B87" s="172" t="inlineStr">
        <is>
          <t>Transaction</t>
        </is>
      </c>
      <c r="C87" s="172" t="inlineStr">
        <is>
          <t>Onward referral: when the receiving facility refers the patient onward, the chain is kept and the prior referral is closed</t>
        </is>
      </c>
      <c r="D87" s="172" t="inlineStr">
        <is>
          <t xml:space="preserve">On onward referral: set the Task outcome to referred-onward, create a new ServiceRequest that references the previous one (ServiceRequest.replaces, per IG) and update the previous ServiceRequest status.
Purpose: Prevents a patient from appearing as referred to two places at once.
</t>
        </is>
      </c>
      <c r="E87" s="172" t="inlineStr">
        <is>
          <t xml:space="preserve">Perform one onward referral; Met if the server-side evidence shows (1) Task = referred-onward, (2) the new ServiceRequest references the earlier one, and (3) the earlier ServiceRequest status changed.
Server-side evidence — any ONE of: (a) Interoperability Layer transaction log (e.g., OpenHIM), (b) Inferno / official FHIR validator report, or (c) the raw FHIR request / response payload provided by the developer and captured during the session.
</t>
        </is>
      </c>
      <c r="F87" s="172" t="inlineStr">
        <is>
          <t>Server-side evidence for both ServiceRequests</t>
        </is>
      </c>
      <c r="G87" s="172" t="inlineStr">
        <is>
          <t>Validator (server-side check)</t>
        </is>
      </c>
      <c r="H87" s="188" t="inlineStr">
        <is>
          <t>No</t>
        </is>
      </c>
      <c r="I87" s="172" t="n">
        <v>1</v>
      </c>
      <c r="J87" s="172" t="inlineStr">
        <is>
          <t>Binary</t>
        </is>
      </c>
      <c r="K87" s="192" t="n"/>
      <c r="L87" s="192" t="n"/>
      <c r="M87" s="192" t="inlineStr">
        <is>
          <t>Not Tested</t>
        </is>
      </c>
      <c r="N87" s="191">
        <f>IF(M87="N/A",IF(H87="Yes",0,""),IF(M87="Not Tested",0,IF(J87="Tier",IF(M87="Fully integrated",1,IF(M87="Standalone - manual encoding",0.5,0)),IF(J87="Binary",IF(M87="Met",1,0),IF(M87="Counted",IF(N(K87)&gt;0,IF(J87="All-or-nothing",IF(N(L87)&gt;=K87,1,0),MIN(N(L87)/K87,1)),0),0)))))</f>
        <v/>
      </c>
      <c r="O87" s="172">
        <f>IF(M87="Not Met","Needs compliance",IF(M87="Not Tested","Not yet tested",""))</f>
        <v/>
      </c>
      <c r="P87" s="173" t="n"/>
      <c r="Q87" s="175">
        <f>IF(N87="",0,I87)</f>
        <v/>
      </c>
      <c r="R87" s="175">
        <f>IF(N87="",0,I87*N87)</f>
        <v/>
      </c>
      <c r="S87" s="175">
        <f>IF(AND(H87="Yes",M87&lt;&gt;"Not Tested",N87&lt;&gt;"",N87&lt;1),1,0)</f>
        <v/>
      </c>
      <c r="T87" s="175" t="inlineStr">
        <is>
          <t>Criterion</t>
        </is>
      </c>
      <c r="U87" s="175" t="n"/>
      <c r="V87" s="175" t="n"/>
      <c r="W87" s="175">
        <f>IF(AND(T87="Criterion",I87&gt;0,M87&lt;&gt;"Not Tested",N87&lt;&gt;"",OR(N(N87)&lt;1,S87=1)),A87,"")</f>
        <v/>
      </c>
    </row>
  </sheetData>
  <autoFilter ref="A9:P87"/>
  <mergeCells count="2">
    <mergeCell ref="A2:P2"/>
    <mergeCell ref="G4:L7"/>
  </mergeCells>
  <conditionalFormatting sqref="N10:N87">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87">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87">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1 M12 M13 M14 M15 M17 M18 M19 M21 M22 M23 M24 M26 M27 M28 M29 M30 M31 M32 M33 M34 M35 M37 M38 M39 M40 M41 M42 M44 M45 M46 M48 M49 M50 M51 M52 M53 M54 M55 M57 M58 M60 M61 M62 M63 M64 M65 M66 M68 M69 M70 M71 M72 M74 M75 M76 M77 M78 M79 M80 M81 M82 M83 M84 M85 M86 M87"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unreleased draft · branch certificate-demo · commit e9c2d50 · built 2026-10-16 09:44 PHT</oddHeader>
    <oddFooter>&amp;C&amp;7 Page &amp;P of &amp;N</oddFooter>
    <evenHeader/>
    <evenFooter/>
    <firstHeader/>
    <firstFooter/>
  </headerFooter>
</worksheet>
</file>

<file path=xl/worksheets/sheet9.xml><?xml version="1.0" encoding="utf-8"?>
<worksheet xmlns="http://schemas.openxmlformats.org/spreadsheetml/2006/main">
  <sheetPr filterMode="0">
    <tabColor rgb="FF2E75B6"/>
    <outlinePr summaryBelow="1" summaryRight="1"/>
    <pageSetUpPr fitToPage="1"/>
  </sheetPr>
  <dimension ref="A1:W72"/>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2C — TS2 eReferral Retrieval and Status Update by Receiving Facility</t>
        </is>
      </c>
    </row>
    <row r="2" ht="48" customHeight="1" s="125">
      <c r="A2" s="174" t="inlineStr">
        <is>
          <t>The receiving facility retrieves the referral from the SHR, displays it, and updates the referral status. Compare every value with the Test Data sheet and confirm with server-side evidence (IOL log, Inferno / validator report, or raw payload). Fields are grouped by screen area / FHIR resource. ★ marks critical sub-items. Screen layout is the vendor's choice.</t>
        </is>
      </c>
    </row>
    <row r="3"/>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Summary!D12</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8"/>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25.5" customHeight="1" s="125">
      <c r="A10" s="172" t="inlineStr">
        <is>
          <t>TS2-01</t>
        </is>
      </c>
      <c r="B10" s="172" t="inlineStr">
        <is>
          <t>Retrieval</t>
        </is>
      </c>
      <c r="C10" s="172" t="inlineStr">
        <is>
          <t>The receiving facility finds new referrals addressed to it without typing a referral / resource ID</t>
        </is>
      </c>
      <c r="D10" s="172" t="inlineStr">
        <is>
          <t xml:space="preserve">Search / subscribe for referrals addressed to the facility (e.g., by Task.owner or ServiceRequest.performer = the facility's NHFR-identified Organization). Polling, subscription or IOL notification is the vendor's choice.
Purpose: Referrals are not missed and staff do not need IDs passed by phone.
</t>
        </is>
      </c>
      <c r="E10" s="172" t="inlineStr">
        <is>
          <t xml:space="preserve">Submit the Test Data referral; Met if it appears in the receiving facility's incoming list without typing an ID.
Server-side evidence — any ONE of: (a) Interoperability Layer transaction log (e.g., OpenHIM), (b) Inferno / official FHIR validator report, or (c) the raw FHIR request / response payload provided by the developer and captured during the session.
</t>
        </is>
      </c>
      <c r="F10" s="172" t="inlineStr">
        <is>
          <t>Screenshot of incoming list + server-side evidence</t>
        </is>
      </c>
      <c r="G10" s="172" t="inlineStr">
        <is>
          <t>Validator + server-side check + Observer</t>
        </is>
      </c>
      <c r="H10" s="188" t="inlineStr">
        <is>
          <t>Yes</t>
        </is>
      </c>
      <c r="I10" s="172" t="n">
        <v>2</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206.5" customHeight="1" s="125">
      <c r="A11" s="172" t="inlineStr">
        <is>
          <t>TS2-02</t>
        </is>
      </c>
      <c r="B11" s="172" t="inlineStr">
        <is>
          <t>Facilities</t>
        </is>
      </c>
      <c r="C11" s="172" t="inlineStr">
        <is>
          <t>Referring and receiving facility details are retrieved and displayed correctly</t>
        </is>
      </c>
      <c r="D11" s="172" t="inlineStr">
        <is>
          <t xml:space="preserve">Read the Organization resources from the SHR and display it in the receiving view exactly as sent — no re-typing. Screen layout and labels are the vendor's choice; the value and its meaning must match.
Purpose: The receiving clinician knows where the patient comes from and that the referral is meant for them.
</t>
        </is>
      </c>
      <c r="E11"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11" s="172" t="inlineStr">
        <is>
          <t>Screenshot of receiving EMR + server-side evidence / resource ID</t>
        </is>
      </c>
      <c r="G11" s="172" t="inlineStr">
        <is>
          <t>Validator + server-side check + Observer</t>
        </is>
      </c>
      <c r="H11" s="188" t="inlineStr">
        <is>
          <t>★ subs</t>
        </is>
      </c>
      <c r="I11" s="172" t="n">
        <v>2</v>
      </c>
      <c r="J11" s="172" t="inlineStr">
        <is>
          <t>Count</t>
        </is>
      </c>
      <c r="K11" s="189">
        <f>COUNTA(A12:A18)-COUNTIF(M12:M18,"N/A")</f>
        <v/>
      </c>
      <c r="L11" s="189">
        <f>COUNTIF(M12:M18,"Met")</f>
        <v/>
      </c>
      <c r="M11" s="190">
        <f>IF(COUNTIF(M12:M18,"N/A")=COUNTA(A12:A18),"N/A",IF(COUNTIF(M12:M18,"Not Tested")&gt;0,"Not Tested","Counted"))</f>
        <v/>
      </c>
      <c r="N11" s="191">
        <f>IF(M11="N/A",IF(H11="Yes",0,""),IF(M11="Not Tested",0,IF(J11="Tier",IF(M11="Fully integrated",1,IF(M11="Standalone - manual encoding",0.5,0)),IF(J11="Binary",IF(M11="Met",1,0),IF(M11="Counted",IF(N(K11)&gt;0,IF(J11="All-or-nothing",IF(N(L11)&gt;=K11,1,0),MIN(N(L11)/K11,1)),0),0)))))</f>
        <v/>
      </c>
      <c r="O11" s="172">
        <f>IF(COUNTIF(M12:M18,"Not Met")&gt;0,COUNTIF(M12:M18,"Not Met")&amp;" of "&amp;K11&amp;" need compliance: "&amp;_xlfn.TEXTJOIN("; ",TRUE(),U12:U18),IF(COUNTIF(M12:M18,"Not Tested")&gt;0,COUNTIF(M12:M18,"Not Tested")&amp;" of "&amp;COUNTA(A12:A18)&amp;" not yet tested",IF(M11="N/A","","All compliant")))</f>
        <v/>
      </c>
      <c r="P11" s="173" t="n"/>
      <c r="Q11" s="175">
        <f>IF(N11="",0,I11)</f>
        <v/>
      </c>
      <c r="R11" s="175">
        <f>IF(N11="",0,I11*N11)</f>
        <v/>
      </c>
      <c r="S11" s="175">
        <f>IF(OR(AND(H11="Yes",M11&lt;&gt;"Not Tested",N11&lt;&gt;"",N11&lt;1),COUNTIFS(H12:H18,"Yes",M12:M18,"Not Met")+COUNTIFS(H12:H18,"Yes",M12:M18,"N/A")&gt;0),1,0)</f>
        <v/>
      </c>
      <c r="T11" s="175" t="inlineStr">
        <is>
          <t>Criterion</t>
        </is>
      </c>
      <c r="U11" s="175" t="n"/>
      <c r="V11" s="175">
        <f>COUNTA(A12:A18)-COUNTIF(M12:M18,"Not Tested")</f>
        <v/>
      </c>
      <c r="W11" s="175">
        <f>IF(AND(T11="Criterion",I11&gt;0,M11&lt;&gt;"Not Tested",N11&lt;&gt;"",OR(N(N11)&lt;1,S11=1)),A11,"")</f>
        <v/>
      </c>
    </row>
    <row r="12" ht="15.5" customHeight="1" s="125">
      <c r="A12" s="193" t="inlineStr">
        <is>
          <t>TS2-02.1</t>
        </is>
      </c>
      <c r="B12" s="194" t="inlineStr">
        <is>
          <t>↳ sub-item</t>
        </is>
      </c>
      <c r="C12" s="193" t="inlineStr">
        <is>
          <t>HCPN name</t>
        </is>
      </c>
      <c r="D12" s="195" t="inlineStr">
        <is>
          <t>(part of TS2-02)</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Met","("&amp;1&amp;") "&amp;IF(H12="Yes","★ ","")&amp;C12,"")</f>
        <v/>
      </c>
    </row>
    <row r="13" ht="15.5" customHeight="1" s="125">
      <c r="A13" s="193" t="inlineStr">
        <is>
          <t>TS2-02.2</t>
        </is>
      </c>
      <c r="B13" s="194" t="inlineStr">
        <is>
          <t>↳ sub-item</t>
        </is>
      </c>
      <c r="C13" s="193" t="inlineStr">
        <is>
          <t>Initiating facility name</t>
        </is>
      </c>
      <c r="D13" s="195" t="inlineStr">
        <is>
          <t>(part of TS2-02)</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Met","("&amp;2&amp;") "&amp;IF(H13="Yes","★ ","")&amp;C13,"")</f>
        <v/>
      </c>
    </row>
    <row r="14" ht="15.5" customHeight="1" s="125">
      <c r="A14" s="193" t="inlineStr">
        <is>
          <t>TS2-02.3</t>
        </is>
      </c>
      <c r="B14" s="194" t="inlineStr">
        <is>
          <t>↳ sub-item</t>
        </is>
      </c>
      <c r="C14" s="193" t="inlineStr">
        <is>
          <t>Initiating facility NHFR code</t>
        </is>
      </c>
      <c r="D14" s="195" t="inlineStr">
        <is>
          <t>(part of TS2-02)</t>
        </is>
      </c>
      <c r="E14" s="196" t="n"/>
      <c r="F14" s="196" t="n"/>
      <c r="G14" s="196" t="n"/>
      <c r="H14" s="196" t="inlineStr">
        <is>
          <t>Yes</t>
        </is>
      </c>
      <c r="I14" s="196" t="n"/>
      <c r="J14" s="196" t="n"/>
      <c r="K14" s="196" t="n"/>
      <c r="L14" s="196" t="n"/>
      <c r="M14" s="197" t="inlineStr">
        <is>
          <t>Not Tested</t>
        </is>
      </c>
      <c r="N14" s="196" t="n"/>
      <c r="O14" s="193">
        <f>IF(M14="Not Met","Needs compliance",IF(M14="Not Tested","Not yet tested",""))</f>
        <v/>
      </c>
      <c r="P14" s="166" t="n"/>
      <c r="T14" s="124" t="inlineStr">
        <is>
          <t>Sub</t>
        </is>
      </c>
      <c r="U14" s="124">
        <f>IF(M14="Not Met","("&amp;3&amp;") "&amp;IF(H14="Yes","★ ","")&amp;C14,"")</f>
        <v/>
      </c>
    </row>
    <row r="15" ht="15.5" customHeight="1" s="125">
      <c r="A15" s="193" t="inlineStr">
        <is>
          <t>TS2-02.4</t>
        </is>
      </c>
      <c r="B15" s="194" t="inlineStr">
        <is>
          <t>↳ sub-item</t>
        </is>
      </c>
      <c r="C15" s="193" t="inlineStr">
        <is>
          <t>Initiating facility address</t>
        </is>
      </c>
      <c r="D15" s="195" t="inlineStr">
        <is>
          <t>(part of TS2-02)</t>
        </is>
      </c>
      <c r="E15" s="196" t="n"/>
      <c r="F15" s="196" t="n"/>
      <c r="G15" s="196" t="n"/>
      <c r="H15" s="196" t="n"/>
      <c r="I15" s="196" t="n"/>
      <c r="J15" s="196" t="n"/>
      <c r="K15" s="196" t="n"/>
      <c r="L15" s="196" t="n"/>
      <c r="M15" s="197" t="inlineStr">
        <is>
          <t>Not Tested</t>
        </is>
      </c>
      <c r="N15" s="196" t="n"/>
      <c r="O15" s="193">
        <f>IF(M15="Not Met","Needs compliance",IF(M15="Not Tested","Not yet tested",""))</f>
        <v/>
      </c>
      <c r="P15" s="166" t="n"/>
      <c r="T15" s="124" t="inlineStr">
        <is>
          <t>Sub</t>
        </is>
      </c>
      <c r="U15" s="124">
        <f>IF(M15="Not Met","("&amp;4&amp;") "&amp;IF(H15="Yes","★ ","")&amp;C15,"")</f>
        <v/>
      </c>
    </row>
    <row r="16" ht="15.5" customHeight="1" s="125">
      <c r="A16" s="193" t="inlineStr">
        <is>
          <t>TS2-02.5</t>
        </is>
      </c>
      <c r="B16" s="194" t="inlineStr">
        <is>
          <t>↳ sub-item</t>
        </is>
      </c>
      <c r="C16" s="193" t="inlineStr">
        <is>
          <t>Initiating facility contact number</t>
        </is>
      </c>
      <c r="D16" s="195" t="inlineStr">
        <is>
          <t>(part of TS2-02)</t>
        </is>
      </c>
      <c r="E16" s="196" t="n"/>
      <c r="F16" s="196" t="n"/>
      <c r="G16" s="196" t="n"/>
      <c r="H16" s="196" t="n"/>
      <c r="I16" s="196" t="n"/>
      <c r="J16" s="196" t="n"/>
      <c r="K16" s="196" t="n"/>
      <c r="L16" s="196" t="n"/>
      <c r="M16" s="197" t="inlineStr">
        <is>
          <t>Not Tested</t>
        </is>
      </c>
      <c r="N16" s="196" t="n"/>
      <c r="O16" s="193">
        <f>IF(M16="Not Met","Needs compliance",IF(M16="Not Tested","Not yet tested",""))</f>
        <v/>
      </c>
      <c r="P16" s="166" t="n"/>
      <c r="T16" s="124" t="inlineStr">
        <is>
          <t>Sub</t>
        </is>
      </c>
      <c r="U16" s="124">
        <f>IF(M16="Not Met","("&amp;5&amp;") "&amp;IF(H16="Yes","★ ","")&amp;C16,"")</f>
        <v/>
      </c>
    </row>
    <row r="17" ht="15.5" customHeight="1" s="125">
      <c r="A17" s="193" t="inlineStr">
        <is>
          <t>TS2-02.6</t>
        </is>
      </c>
      <c r="B17" s="194" t="inlineStr">
        <is>
          <t>↳ sub-item</t>
        </is>
      </c>
      <c r="C17" s="193" t="inlineStr">
        <is>
          <t>Receiving facility name</t>
        </is>
      </c>
      <c r="D17" s="195" t="inlineStr">
        <is>
          <t>(part of TS2-02)</t>
        </is>
      </c>
      <c r="E17" s="196" t="n"/>
      <c r="F17" s="196" t="n"/>
      <c r="G17" s="196" t="n"/>
      <c r="H17" s="196" t="n"/>
      <c r="I17" s="196" t="n"/>
      <c r="J17" s="196" t="n"/>
      <c r="K17" s="196" t="n"/>
      <c r="L17" s="196" t="n"/>
      <c r="M17" s="197" t="inlineStr">
        <is>
          <t>Not Tested</t>
        </is>
      </c>
      <c r="N17" s="196" t="n"/>
      <c r="O17" s="193">
        <f>IF(M17="Not Met","Needs compliance",IF(M17="Not Tested","Not yet tested",""))</f>
        <v/>
      </c>
      <c r="P17" s="166" t="n"/>
      <c r="T17" s="124" t="inlineStr">
        <is>
          <t>Sub</t>
        </is>
      </c>
      <c r="U17" s="124">
        <f>IF(M17="Not Met","("&amp;6&amp;") "&amp;IF(H17="Yes","★ ","")&amp;C17,"")</f>
        <v/>
      </c>
    </row>
    <row r="18" ht="15.5" customHeight="1" s="125">
      <c r="A18" s="193" t="inlineStr">
        <is>
          <t>TS2-02.7</t>
        </is>
      </c>
      <c r="B18" s="194" t="inlineStr">
        <is>
          <t>↳ sub-item</t>
        </is>
      </c>
      <c r="C18" s="193" t="inlineStr">
        <is>
          <t>Receiving facility NHFR code</t>
        </is>
      </c>
      <c r="D18" s="195" t="inlineStr">
        <is>
          <t>(part of TS2-02)</t>
        </is>
      </c>
      <c r="E18" s="196" t="n"/>
      <c r="F18" s="196" t="n"/>
      <c r="G18" s="196" t="n"/>
      <c r="H18" s="196" t="inlineStr">
        <is>
          <t>Yes</t>
        </is>
      </c>
      <c r="I18" s="196" t="n"/>
      <c r="J18" s="196" t="n"/>
      <c r="K18" s="196" t="n"/>
      <c r="L18" s="196" t="n"/>
      <c r="M18" s="197" t="inlineStr">
        <is>
          <t>Not Tested</t>
        </is>
      </c>
      <c r="N18" s="196" t="n"/>
      <c r="O18" s="193">
        <f>IF(M18="Not Met","Needs compliance",IF(M18="Not Tested","Not yet tested",""))</f>
        <v/>
      </c>
      <c r="P18" s="166" t="n"/>
      <c r="T18" s="124" t="inlineStr">
        <is>
          <t>Sub</t>
        </is>
      </c>
      <c r="U18" s="124">
        <f>IF(M18="Not Met","("&amp;7&amp;") "&amp;IF(H18="Yes","★ ","")&amp;C18,"")</f>
        <v/>
      </c>
    </row>
    <row r="19" ht="206.5" customHeight="1" s="125">
      <c r="A19" s="172" t="inlineStr">
        <is>
          <t>TS2-03</t>
        </is>
      </c>
      <c r="B19" s="172" t="inlineStr">
        <is>
          <t>Referring practitioner</t>
        </is>
      </c>
      <c r="C19" s="172" t="inlineStr">
        <is>
          <t>Referring practitioner (and care navigator, if assigned) is retrieved and displayed correctly</t>
        </is>
      </c>
      <c r="D19" s="172" t="inlineStr">
        <is>
          <t xml:space="preserve">Read the referring PractitionerRole / Practitioner (ServiceRequest.requester) from the SHR and display it in the receiving view exactly as sent — no re-typing. Screen layout and labels are the vendor's choice; the value and its meaning must match.
Purpose: The receiving facility knows whom to call back.
</t>
        </is>
      </c>
      <c r="E19"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19" s="172" t="inlineStr">
        <is>
          <t>Screenshot of receiving EMR + server-side evidence / resource ID</t>
        </is>
      </c>
      <c r="G19" s="172" t="inlineStr">
        <is>
          <t>Validator + server-side check + Observer</t>
        </is>
      </c>
      <c r="H19" s="188" t="inlineStr">
        <is>
          <t>★ subs</t>
        </is>
      </c>
      <c r="I19" s="172" t="n">
        <v>2</v>
      </c>
      <c r="J19" s="172" t="inlineStr">
        <is>
          <t>Count</t>
        </is>
      </c>
      <c r="K19" s="189">
        <f>COUNTA(A20:A22)-COUNTIF(M20:M22,"N/A")</f>
        <v/>
      </c>
      <c r="L19" s="189">
        <f>COUNTIF(M20:M22,"Met")</f>
        <v/>
      </c>
      <c r="M19" s="190">
        <f>IF(COUNTIF(M20:M22,"N/A")=COUNTA(A20:A22),"N/A",IF(COUNTIF(M20:M22,"Not Tested")&gt;0,"Not Tested","Counted"))</f>
        <v/>
      </c>
      <c r="N19" s="191">
        <f>IF(M19="N/A",IF(H19="Yes",0,""),IF(M19="Not Tested",0,IF(J19="Tier",IF(M19="Fully integrated",1,IF(M19="Standalone - manual encoding",0.5,0)),IF(J19="Binary",IF(M19="Met",1,0),IF(M19="Counted",IF(N(K19)&gt;0,IF(J19="All-or-nothing",IF(N(L19)&gt;=K19,1,0),MIN(N(L19)/K19,1)),0),0)))))</f>
        <v/>
      </c>
      <c r="O19" s="172">
        <f>IF(COUNTIF(M20:M22,"Not Met")&gt;0,COUNTIF(M20:M22,"Not Met")&amp;" of "&amp;K19&amp;" need compliance: "&amp;_xlfn.TEXTJOIN("; ",TRUE(),U20:U22),IF(COUNTIF(M20:M22,"Not Tested")&gt;0,COUNTIF(M20:M22,"Not Tested")&amp;" of "&amp;COUNTA(A20:A22)&amp;" not yet tested",IF(M19="N/A","","All compliant")))</f>
        <v/>
      </c>
      <c r="P19" s="173" t="n"/>
      <c r="Q19" s="175">
        <f>IF(N19="",0,I19)</f>
        <v/>
      </c>
      <c r="R19" s="175">
        <f>IF(N19="",0,I19*N19)</f>
        <v/>
      </c>
      <c r="S19" s="175">
        <f>IF(OR(AND(H19="Yes",M19&lt;&gt;"Not Tested",N19&lt;&gt;"",N19&lt;1),COUNTIFS(H20:H22,"Yes",M20:M22,"Not Met")+COUNTIFS(H20:H22,"Yes",M20:M22,"N/A")&gt;0),1,0)</f>
        <v/>
      </c>
      <c r="T19" s="175" t="inlineStr">
        <is>
          <t>Criterion</t>
        </is>
      </c>
      <c r="U19" s="175" t="n"/>
      <c r="V19" s="175">
        <f>COUNTA(A20:A22)-COUNTIF(M20:M22,"Not Tested")</f>
        <v/>
      </c>
      <c r="W19" s="175">
        <f>IF(AND(T19="Criterion",I19&gt;0,M19&lt;&gt;"Not Tested",N19&lt;&gt;"",OR(N(N19)&lt;1,S19=1)),A19,"")</f>
        <v/>
      </c>
    </row>
    <row r="20" ht="15.5" customHeight="1" s="125">
      <c r="A20" s="193" t="inlineStr">
        <is>
          <t>TS2-03.1</t>
        </is>
      </c>
      <c r="B20" s="194" t="inlineStr">
        <is>
          <t>↳ sub-item</t>
        </is>
      </c>
      <c r="C20" s="193" t="inlineStr">
        <is>
          <t>Name of referring practitioner</t>
        </is>
      </c>
      <c r="D20" s="195" t="inlineStr">
        <is>
          <t>(part of TS2-03)</t>
        </is>
      </c>
      <c r="E20" s="196" t="n"/>
      <c r="F20" s="196" t="n"/>
      <c r="G20" s="196" t="n"/>
      <c r="H20" s="196" t="n"/>
      <c r="I20" s="196" t="n"/>
      <c r="J20" s="196" t="n"/>
      <c r="K20" s="196" t="n"/>
      <c r="L20" s="196" t="n"/>
      <c r="M20" s="197" t="inlineStr">
        <is>
          <t>Not Tested</t>
        </is>
      </c>
      <c r="N20" s="196" t="n"/>
      <c r="O20" s="193">
        <f>IF(M20="Not Met","Needs compliance",IF(M20="Not Tested","Not yet tested",""))</f>
        <v/>
      </c>
      <c r="P20" s="166" t="n"/>
      <c r="T20" s="124" t="inlineStr">
        <is>
          <t>Sub</t>
        </is>
      </c>
      <c r="U20" s="124">
        <f>IF(M20="Not Met","("&amp;1&amp;") "&amp;IF(H20="Yes","★ ","")&amp;C20,"")</f>
        <v/>
      </c>
    </row>
    <row r="21" ht="15.5" customHeight="1" s="125">
      <c r="A21" s="193" t="inlineStr">
        <is>
          <t>TS2-03.2</t>
        </is>
      </c>
      <c r="B21" s="194" t="inlineStr">
        <is>
          <t>↳ sub-item</t>
        </is>
      </c>
      <c r="C21" s="193" t="inlineStr">
        <is>
          <t>Practitioner role</t>
        </is>
      </c>
      <c r="D21" s="195" t="inlineStr">
        <is>
          <t>(part of TS2-03)</t>
        </is>
      </c>
      <c r="E21" s="196" t="n"/>
      <c r="F21" s="196" t="n"/>
      <c r="G21" s="196" t="n"/>
      <c r="H21" s="196" t="inlineStr">
        <is>
          <t>Yes</t>
        </is>
      </c>
      <c r="I21" s="196" t="n"/>
      <c r="J21" s="196" t="n"/>
      <c r="K21" s="196" t="n"/>
      <c r="L21" s="196" t="n"/>
      <c r="M21" s="197" t="inlineStr">
        <is>
          <t>Not Tested</t>
        </is>
      </c>
      <c r="N21" s="196" t="n"/>
      <c r="O21" s="193">
        <f>IF(M21="Not Met","Needs compliance",IF(M21="Not Tested","Not yet tested",""))</f>
        <v/>
      </c>
      <c r="P21" s="166" t="n"/>
      <c r="T21" s="124" t="inlineStr">
        <is>
          <t>Sub</t>
        </is>
      </c>
      <c r="U21" s="124">
        <f>IF(M21="Not Met","("&amp;2&amp;") "&amp;IF(H21="Yes","★ ","")&amp;C21,"")</f>
        <v/>
      </c>
    </row>
    <row r="22" ht="29" customHeight="1" s="125">
      <c r="A22" s="193" t="inlineStr">
        <is>
          <t>TS2-03.3</t>
        </is>
      </c>
      <c r="B22" s="194" t="inlineStr">
        <is>
          <t>↳ sub-item</t>
        </is>
      </c>
      <c r="C22" s="193" t="inlineStr">
        <is>
          <t>Care navigator at the referring facility (N/A if none was sent)</t>
        </is>
      </c>
      <c r="D22" s="195" t="inlineStr">
        <is>
          <t>(part of TS2-03)</t>
        </is>
      </c>
      <c r="E22" s="196" t="n"/>
      <c r="F22" s="196" t="n"/>
      <c r="G22" s="196" t="n"/>
      <c r="H22" s="196" t="n"/>
      <c r="I22" s="196" t="n"/>
      <c r="J22" s="196" t="n"/>
      <c r="K22" s="196" t="n"/>
      <c r="L22" s="196" t="n"/>
      <c r="M22" s="197" t="inlineStr">
        <is>
          <t>Not Tested</t>
        </is>
      </c>
      <c r="N22" s="196" t="n"/>
      <c r="O22" s="193">
        <f>IF(M22="Not Met","Needs compliance",IF(M22="Not Tested","Not yet tested",""))</f>
        <v/>
      </c>
      <c r="P22" s="166" t="n"/>
      <c r="T22" s="124" t="inlineStr">
        <is>
          <t>Sub</t>
        </is>
      </c>
      <c r="U22" s="124">
        <f>IF(M22="Not Met","("&amp;3&amp;") "&amp;IF(H22="Yes","★ ","")&amp;C22,"")</f>
        <v/>
      </c>
    </row>
    <row r="23" ht="206.5" customHeight="1" s="125">
      <c r="A23" s="172" t="inlineStr">
        <is>
          <t>TS2-04</t>
        </is>
      </c>
      <c r="B23" s="172" t="inlineStr">
        <is>
          <t>Patient</t>
        </is>
      </c>
      <c r="C23" s="172" t="inlineStr">
        <is>
          <t>Patient demographics and identifiers are retrieved and displayed correctly</t>
        </is>
      </c>
      <c r="D23" s="172" t="inlineStr">
        <is>
          <t xml:space="preserve">Read the Patient (and RelatedPerson / Patient.contact) from the SHR and display it in the receiving view exactly as sent — no re-typing. Screen layout and labels are the vendor's choice; the value and its meaning must match.
Purpose: The patient is identified unambiguously at the receiving facility.
</t>
        </is>
      </c>
      <c r="E23"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23" s="172" t="inlineStr">
        <is>
          <t>Screenshot of receiving EMR + server-side evidence / resource ID</t>
        </is>
      </c>
      <c r="G23" s="172" t="inlineStr">
        <is>
          <t>Validator + server-side check + Observer</t>
        </is>
      </c>
      <c r="H23" s="188" t="inlineStr">
        <is>
          <t>★ subs</t>
        </is>
      </c>
      <c r="I23" s="172" t="n">
        <v>2</v>
      </c>
      <c r="J23" s="172" t="inlineStr">
        <is>
          <t>Count</t>
        </is>
      </c>
      <c r="K23" s="189">
        <f>COUNTA(A24:A34)-COUNTIF(M24:M34,"N/A")</f>
        <v/>
      </c>
      <c r="L23" s="189">
        <f>COUNTIF(M24:M34,"Met")</f>
        <v/>
      </c>
      <c r="M23" s="190">
        <f>IF(COUNTIF(M24:M34,"N/A")=COUNTA(A24:A34),"N/A",IF(COUNTIF(M24:M34,"Not Tested")&gt;0,"Not Tested","Counted"))</f>
        <v/>
      </c>
      <c r="N23" s="191">
        <f>IF(M23="N/A",IF(H23="Yes",0,""),IF(M23="Not Tested",0,IF(J23="Tier",IF(M23="Fully integrated",1,IF(M23="Standalone - manual encoding",0.5,0)),IF(J23="Binary",IF(M23="Met",1,0),IF(M23="Counted",IF(N(K23)&gt;0,IF(J23="All-or-nothing",IF(N(L23)&gt;=K23,1,0),MIN(N(L23)/K23,1)),0),0)))))</f>
        <v/>
      </c>
      <c r="O23" s="172">
        <f>IF(COUNTIF(M24:M34,"Not Met")&gt;0,COUNTIF(M24:M34,"Not Met")&amp;" of "&amp;K23&amp;" need compliance: "&amp;_xlfn.TEXTJOIN("; ",TRUE(),U24:U34),IF(COUNTIF(M24:M34,"Not Tested")&gt;0,COUNTIF(M24:M34,"Not Tested")&amp;" of "&amp;COUNTA(A24:A34)&amp;" not yet tested",IF(M23="N/A","","All compliant")))</f>
        <v/>
      </c>
      <c r="P23" s="173" t="n"/>
      <c r="Q23" s="175">
        <f>IF(N23="",0,I23)</f>
        <v/>
      </c>
      <c r="R23" s="175">
        <f>IF(N23="",0,I23*N23)</f>
        <v/>
      </c>
      <c r="S23" s="175">
        <f>IF(OR(AND(H23="Yes",M23&lt;&gt;"Not Tested",N23&lt;&gt;"",N23&lt;1),COUNTIFS(H24:H34,"Yes",M24:M34,"Not Met")+COUNTIFS(H24:H34,"Yes",M24:M34,"N/A")&gt;0),1,0)</f>
        <v/>
      </c>
      <c r="T23" s="175" t="inlineStr">
        <is>
          <t>Criterion</t>
        </is>
      </c>
      <c r="U23" s="175" t="n"/>
      <c r="V23" s="175">
        <f>COUNTA(A24:A34)-COUNTIF(M24:M34,"Not Tested")</f>
        <v/>
      </c>
      <c r="W23" s="175">
        <f>IF(AND(T23="Criterion",I23&gt;0,M23&lt;&gt;"Not Tested",N23&lt;&gt;"",OR(N(N23)&lt;1,S23=1)),A23,"")</f>
        <v/>
      </c>
    </row>
    <row r="24" ht="15.5" customHeight="1" s="125">
      <c r="A24" s="193" t="inlineStr">
        <is>
          <t>TS2-04.1</t>
        </is>
      </c>
      <c r="B24" s="194" t="inlineStr">
        <is>
          <t>↳ sub-item</t>
        </is>
      </c>
      <c r="C24" s="193" t="inlineStr">
        <is>
          <t>Full name</t>
        </is>
      </c>
      <c r="D24" s="195" t="inlineStr">
        <is>
          <t>(part of TS2-04)</t>
        </is>
      </c>
      <c r="E24" s="196" t="n"/>
      <c r="F24" s="196" t="n"/>
      <c r="G24" s="196" t="n"/>
      <c r="H24" s="196" t="n"/>
      <c r="I24" s="196" t="n"/>
      <c r="J24" s="196" t="n"/>
      <c r="K24" s="196" t="n"/>
      <c r="L24" s="196" t="n"/>
      <c r="M24" s="197" t="inlineStr">
        <is>
          <t>Not Tested</t>
        </is>
      </c>
      <c r="N24" s="196" t="n"/>
      <c r="O24" s="193">
        <f>IF(M24="Not Met","Needs compliance",IF(M24="Not Tested","Not yet tested",""))</f>
        <v/>
      </c>
      <c r="P24" s="166" t="n"/>
      <c r="T24" s="124" t="inlineStr">
        <is>
          <t>Sub</t>
        </is>
      </c>
      <c r="U24" s="124">
        <f>IF(M24="Not Met","("&amp;1&amp;") "&amp;IF(H24="Yes","★ ","")&amp;C24,"")</f>
        <v/>
      </c>
    </row>
    <row r="25" ht="15.5" customHeight="1" s="125">
      <c r="A25" s="193" t="inlineStr">
        <is>
          <t>TS2-04.2</t>
        </is>
      </c>
      <c r="B25" s="194" t="inlineStr">
        <is>
          <t>↳ sub-item</t>
        </is>
      </c>
      <c r="C25" s="193" t="inlineStr">
        <is>
          <t>PhilSys number</t>
        </is>
      </c>
      <c r="D25" s="195" t="inlineStr">
        <is>
          <t>(part of TS2-04)</t>
        </is>
      </c>
      <c r="E25" s="196" t="n"/>
      <c r="F25" s="196" t="n"/>
      <c r="G25" s="196" t="n"/>
      <c r="H25" s="196" t="inlineStr">
        <is>
          <t>Yes</t>
        </is>
      </c>
      <c r="I25" s="196" t="n"/>
      <c r="J25" s="196" t="n"/>
      <c r="K25" s="196" t="n"/>
      <c r="L25" s="196" t="n"/>
      <c r="M25" s="197" t="inlineStr">
        <is>
          <t>Not Tested</t>
        </is>
      </c>
      <c r="N25" s="196" t="n"/>
      <c r="O25" s="193">
        <f>IF(M25="Not Met","Needs compliance",IF(M25="Not Tested","Not yet tested",""))</f>
        <v/>
      </c>
      <c r="P25" s="166" t="n"/>
      <c r="T25" s="124" t="inlineStr">
        <is>
          <t>Sub</t>
        </is>
      </c>
      <c r="U25" s="124">
        <f>IF(M25="Not Met","("&amp;2&amp;") "&amp;IF(H25="Yes","★ ","")&amp;C25,"")</f>
        <v/>
      </c>
    </row>
    <row r="26" ht="15.5" customHeight="1" s="125">
      <c r="A26" s="193" t="inlineStr">
        <is>
          <t>TS2-04.3</t>
        </is>
      </c>
      <c r="B26" s="194" t="inlineStr">
        <is>
          <t>↳ sub-item</t>
        </is>
      </c>
      <c r="C26" s="193" t="inlineStr">
        <is>
          <t>PhilHealth ID</t>
        </is>
      </c>
      <c r="D26" s="195" t="inlineStr">
        <is>
          <t>(part of TS2-04)</t>
        </is>
      </c>
      <c r="E26" s="196" t="n"/>
      <c r="F26" s="196" t="n"/>
      <c r="G26" s="196" t="n"/>
      <c r="H26" s="196" t="inlineStr">
        <is>
          <t>Yes</t>
        </is>
      </c>
      <c r="I26" s="196" t="n"/>
      <c r="J26" s="196" t="n"/>
      <c r="K26" s="196" t="n"/>
      <c r="L26" s="196" t="n"/>
      <c r="M26" s="197" t="inlineStr">
        <is>
          <t>Not Tested</t>
        </is>
      </c>
      <c r="N26" s="196" t="n"/>
      <c r="O26" s="193">
        <f>IF(M26="Not Met","Needs compliance",IF(M26="Not Tested","Not yet tested",""))</f>
        <v/>
      </c>
      <c r="P26" s="166" t="n"/>
      <c r="T26" s="124" t="inlineStr">
        <is>
          <t>Sub</t>
        </is>
      </c>
      <c r="U26" s="124">
        <f>IF(M26="Not Met","("&amp;3&amp;") "&amp;IF(H26="Yes","★ ","")&amp;C26,"")</f>
        <v/>
      </c>
    </row>
    <row r="27" ht="15.5" customHeight="1" s="125">
      <c r="A27" s="193" t="inlineStr">
        <is>
          <t>TS2-04.4</t>
        </is>
      </c>
      <c r="B27" s="194" t="inlineStr">
        <is>
          <t>↳ sub-item</t>
        </is>
      </c>
      <c r="C27" s="193" t="inlineStr">
        <is>
          <t>Birth date</t>
        </is>
      </c>
      <c r="D27" s="195" t="inlineStr">
        <is>
          <t>(part of TS2-04)</t>
        </is>
      </c>
      <c r="E27" s="196" t="n"/>
      <c r="F27" s="196" t="n"/>
      <c r="G27" s="196" t="n"/>
      <c r="H27" s="196" t="n"/>
      <c r="I27" s="196" t="n"/>
      <c r="J27" s="196" t="n"/>
      <c r="K27" s="196" t="n"/>
      <c r="L27" s="196" t="n"/>
      <c r="M27" s="197" t="inlineStr">
        <is>
          <t>Not Tested</t>
        </is>
      </c>
      <c r="N27" s="196" t="n"/>
      <c r="O27" s="193">
        <f>IF(M27="Not Met","Needs compliance",IF(M27="Not Tested","Not yet tested",""))</f>
        <v/>
      </c>
      <c r="P27" s="166" t="n"/>
      <c r="T27" s="124" t="inlineStr">
        <is>
          <t>Sub</t>
        </is>
      </c>
      <c r="U27" s="124">
        <f>IF(M27="Not Met","("&amp;4&amp;") "&amp;IF(H27="Yes","★ ","")&amp;C27,"")</f>
        <v/>
      </c>
    </row>
    <row r="28" ht="42.5" customHeight="1" s="125">
      <c r="A28" s="193" t="inlineStr">
        <is>
          <t>TS2-04.5</t>
        </is>
      </c>
      <c r="B28" s="194" t="inlineStr">
        <is>
          <t>↳ sub-item</t>
        </is>
      </c>
      <c r="C28" s="193" t="inlineStr">
        <is>
          <t>Age — computed correctly from the birth date on the day of testing (display check)</t>
        </is>
      </c>
      <c r="D28" s="195" t="inlineStr">
        <is>
          <t>(part of TS2-04)</t>
        </is>
      </c>
      <c r="E28" s="196" t="n"/>
      <c r="F28" s="196" t="n"/>
      <c r="G28" s="196" t="n"/>
      <c r="H28" s="196" t="n"/>
      <c r="I28" s="196" t="n"/>
      <c r="J28" s="196" t="n"/>
      <c r="K28" s="196" t="n"/>
      <c r="L28" s="196" t="n"/>
      <c r="M28" s="197" t="inlineStr">
        <is>
          <t>Not Tested</t>
        </is>
      </c>
      <c r="N28" s="196" t="n"/>
      <c r="O28" s="193">
        <f>IF(M28="Not Met","Needs compliance",IF(M28="Not Tested","Not yet tested",""))</f>
        <v/>
      </c>
      <c r="P28" s="166" t="n"/>
      <c r="T28" s="124" t="inlineStr">
        <is>
          <t>Sub</t>
        </is>
      </c>
      <c r="U28" s="124">
        <f>IF(M28="Not Met","("&amp;5&amp;") "&amp;IF(H28="Yes","★ ","")&amp;C28,"")</f>
        <v/>
      </c>
    </row>
    <row r="29" ht="15.5" customHeight="1" s="125">
      <c r="A29" s="193" t="inlineStr">
        <is>
          <t>TS2-04.6</t>
        </is>
      </c>
      <c r="B29" s="194" t="inlineStr">
        <is>
          <t>↳ sub-item</t>
        </is>
      </c>
      <c r="C29" s="193" t="inlineStr">
        <is>
          <t>Sex</t>
        </is>
      </c>
      <c r="D29" s="195" t="inlineStr">
        <is>
          <t>(part of TS2-04)</t>
        </is>
      </c>
      <c r="E29" s="196" t="n"/>
      <c r="F29" s="196" t="n"/>
      <c r="G29" s="196" t="n"/>
      <c r="H29" s="196" t="inlineStr">
        <is>
          <t>Yes</t>
        </is>
      </c>
      <c r="I29" s="196" t="n"/>
      <c r="J29" s="196" t="n"/>
      <c r="K29" s="196" t="n"/>
      <c r="L29" s="196" t="n"/>
      <c r="M29" s="197" t="inlineStr">
        <is>
          <t>Not Tested</t>
        </is>
      </c>
      <c r="N29" s="196" t="n"/>
      <c r="O29" s="193">
        <f>IF(M29="Not Met","Needs compliance",IF(M29="Not Tested","Not yet tested",""))</f>
        <v/>
      </c>
      <c r="P29" s="166" t="n"/>
      <c r="T29" s="124" t="inlineStr">
        <is>
          <t>Sub</t>
        </is>
      </c>
      <c r="U29" s="124">
        <f>IF(M29="Not Met","("&amp;6&amp;") "&amp;IF(H29="Yes","★ ","")&amp;C29,"")</f>
        <v/>
      </c>
    </row>
    <row r="30" ht="15.5" customHeight="1" s="125">
      <c r="A30" s="193" t="inlineStr">
        <is>
          <t>TS2-04.7</t>
        </is>
      </c>
      <c r="B30" s="194" t="inlineStr">
        <is>
          <t>↳ sub-item</t>
        </is>
      </c>
      <c r="C30" s="193" t="inlineStr">
        <is>
          <t>Civil status</t>
        </is>
      </c>
      <c r="D30" s="195" t="inlineStr">
        <is>
          <t>(part of TS2-04)</t>
        </is>
      </c>
      <c r="E30" s="196" t="n"/>
      <c r="F30" s="196" t="n"/>
      <c r="G30" s="196" t="n"/>
      <c r="H30" s="196" t="n"/>
      <c r="I30" s="196" t="n"/>
      <c r="J30" s="196" t="n"/>
      <c r="K30" s="196" t="n"/>
      <c r="L30" s="196" t="n"/>
      <c r="M30" s="197" t="inlineStr">
        <is>
          <t>Not Tested</t>
        </is>
      </c>
      <c r="N30" s="196" t="n"/>
      <c r="O30" s="193">
        <f>IF(M30="Not Met","Needs compliance",IF(M30="Not Tested","Not yet tested",""))</f>
        <v/>
      </c>
      <c r="P30" s="166" t="n"/>
      <c r="T30" s="124" t="inlineStr">
        <is>
          <t>Sub</t>
        </is>
      </c>
      <c r="U30" s="124">
        <f>IF(M30="Not Met","("&amp;7&amp;") "&amp;IF(H30="Yes","★ ","")&amp;C30,"")</f>
        <v/>
      </c>
    </row>
    <row r="31" ht="15.5" customHeight="1" s="125">
      <c r="A31" s="193" t="inlineStr">
        <is>
          <t>TS2-04.8</t>
        </is>
      </c>
      <c r="B31" s="194" t="inlineStr">
        <is>
          <t>↳ sub-item</t>
        </is>
      </c>
      <c r="C31" s="193" t="inlineStr">
        <is>
          <t>Address</t>
        </is>
      </c>
      <c r="D31" s="195" t="inlineStr">
        <is>
          <t>(part of TS2-04)</t>
        </is>
      </c>
      <c r="E31" s="196" t="n"/>
      <c r="F31" s="196" t="n"/>
      <c r="G31" s="196" t="n"/>
      <c r="H31" s="196" t="n"/>
      <c r="I31" s="196" t="n"/>
      <c r="J31" s="196" t="n"/>
      <c r="K31" s="196" t="n"/>
      <c r="L31" s="196" t="n"/>
      <c r="M31" s="197" t="inlineStr">
        <is>
          <t>Not Tested</t>
        </is>
      </c>
      <c r="N31" s="196" t="n"/>
      <c r="O31" s="193">
        <f>IF(M31="Not Met","Needs compliance",IF(M31="Not Tested","Not yet tested",""))</f>
        <v/>
      </c>
      <c r="P31" s="166" t="n"/>
      <c r="T31" s="124" t="inlineStr">
        <is>
          <t>Sub</t>
        </is>
      </c>
      <c r="U31" s="124">
        <f>IF(M31="Not Met","("&amp;8&amp;") "&amp;IF(H31="Yes","★ ","")&amp;C31,"")</f>
        <v/>
      </c>
    </row>
    <row r="32" ht="15.5" customHeight="1" s="125">
      <c r="A32" s="193" t="inlineStr">
        <is>
          <t>TS2-04.9</t>
        </is>
      </c>
      <c r="B32" s="194" t="inlineStr">
        <is>
          <t>↳ sub-item</t>
        </is>
      </c>
      <c r="C32" s="193" t="inlineStr">
        <is>
          <t>Contact number</t>
        </is>
      </c>
      <c r="D32" s="195" t="inlineStr">
        <is>
          <t>(part of TS2-04)</t>
        </is>
      </c>
      <c r="E32" s="196" t="n"/>
      <c r="F32" s="196" t="n"/>
      <c r="G32" s="196" t="n"/>
      <c r="H32" s="196" t="n"/>
      <c r="I32" s="196" t="n"/>
      <c r="J32" s="196" t="n"/>
      <c r="K32" s="196" t="n"/>
      <c r="L32" s="196" t="n"/>
      <c r="M32" s="197" t="inlineStr">
        <is>
          <t>Not Tested</t>
        </is>
      </c>
      <c r="N32" s="196" t="n"/>
      <c r="O32" s="193">
        <f>IF(M32="Not Met","Needs compliance",IF(M32="Not Tested","Not yet tested",""))</f>
        <v/>
      </c>
      <c r="P32" s="166" t="n"/>
      <c r="T32" s="124" t="inlineStr">
        <is>
          <t>Sub</t>
        </is>
      </c>
      <c r="U32" s="124">
        <f>IF(M32="Not Met","("&amp;9&amp;") "&amp;IF(H32="Yes","★ ","")&amp;C32,"")</f>
        <v/>
      </c>
    </row>
    <row r="33" ht="15.5" customHeight="1" s="125">
      <c r="A33" s="193" t="inlineStr">
        <is>
          <t>TS2-04.10</t>
        </is>
      </c>
      <c r="B33" s="194" t="inlineStr">
        <is>
          <t>↳ sub-item</t>
        </is>
      </c>
      <c r="C33" s="193" t="inlineStr">
        <is>
          <t>PWD registration (N/A if none was sent)</t>
        </is>
      </c>
      <c r="D33" s="195" t="inlineStr">
        <is>
          <t>(part of TS2-04)</t>
        </is>
      </c>
      <c r="E33" s="196" t="n"/>
      <c r="F33" s="196" t="n"/>
      <c r="G33" s="196" t="n"/>
      <c r="H33" s="196" t="n"/>
      <c r="I33" s="196" t="n"/>
      <c r="J33" s="196" t="n"/>
      <c r="K33" s="196" t="n"/>
      <c r="L33" s="196" t="n"/>
      <c r="M33" s="197" t="inlineStr">
        <is>
          <t>Not Tested</t>
        </is>
      </c>
      <c r="N33" s="196" t="n"/>
      <c r="O33" s="193">
        <f>IF(M33="Not Met","Needs compliance",IF(M33="Not Tested","Not yet tested",""))</f>
        <v/>
      </c>
      <c r="P33" s="166" t="n"/>
      <c r="T33" s="124" t="inlineStr">
        <is>
          <t>Sub</t>
        </is>
      </c>
      <c r="U33" s="124">
        <f>IF(M33="Not Met","("&amp;10&amp;") "&amp;IF(H33="Yes","★ ","")&amp;C33,"")</f>
        <v/>
      </c>
    </row>
    <row r="34" ht="15.5" customHeight="1" s="125">
      <c r="A34" s="193" t="inlineStr">
        <is>
          <t>TS2-04.11</t>
        </is>
      </c>
      <c r="B34" s="194" t="inlineStr">
        <is>
          <t>↳ sub-item</t>
        </is>
      </c>
      <c r="C34" s="193" t="inlineStr">
        <is>
          <t>Accompanied by / next of kin</t>
        </is>
      </c>
      <c r="D34" s="195" t="inlineStr">
        <is>
          <t>(part of TS2-04)</t>
        </is>
      </c>
      <c r="E34" s="196" t="n"/>
      <c r="F34" s="196" t="n"/>
      <c r="G34" s="196" t="n"/>
      <c r="H34" s="196" t="n"/>
      <c r="I34" s="196" t="n"/>
      <c r="J34" s="196" t="n"/>
      <c r="K34" s="196" t="n"/>
      <c r="L34" s="196" t="n"/>
      <c r="M34" s="197" t="inlineStr">
        <is>
          <t>Not Tested</t>
        </is>
      </c>
      <c r="N34" s="196" t="n"/>
      <c r="O34" s="193">
        <f>IF(M34="Not Met","Needs compliance",IF(M34="Not Tested","Not yet tested",""))</f>
        <v/>
      </c>
      <c r="P34" s="166" t="n"/>
      <c r="T34" s="124" t="inlineStr">
        <is>
          <t>Sub</t>
        </is>
      </c>
      <c r="U34" s="124">
        <f>IF(M34="Not Met","("&amp;11&amp;") "&amp;IF(H34="Yes","★ ","")&amp;C34,"")</f>
        <v/>
      </c>
    </row>
    <row r="35" ht="206.5" customHeight="1" s="125">
      <c r="A35" s="172" t="inlineStr">
        <is>
          <t>TS2-05</t>
        </is>
      </c>
      <c r="B35" s="172" t="inlineStr">
        <is>
          <t>Referral request</t>
        </is>
      </c>
      <c r="C35" s="172" t="inlineStr">
        <is>
          <t>Referral request details are retrieved and displayed correctly</t>
        </is>
      </c>
      <c r="D35" s="172" t="inlineStr">
        <is>
          <t xml:space="preserve">Read the ServiceRequest from the SHR and display it in the receiving view exactly as sent — no re-typing. Screen layout and labels are the vendor's choice; the value and its meaning must match.
Purpose: The receiving facility sees what is requested, how urgent it is and why.
</t>
        </is>
      </c>
      <c r="E35"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35" s="172" t="inlineStr">
        <is>
          <t>Screenshot of receiving EMR + server-side evidence / resource ID</t>
        </is>
      </c>
      <c r="G35" s="172" t="inlineStr">
        <is>
          <t>Validator + server-side check + Observer</t>
        </is>
      </c>
      <c r="H35" s="188" t="inlineStr">
        <is>
          <t>★ subs</t>
        </is>
      </c>
      <c r="I35" s="172" t="n">
        <v>2</v>
      </c>
      <c r="J35" s="172" t="inlineStr">
        <is>
          <t>Count</t>
        </is>
      </c>
      <c r="K35" s="189">
        <f>COUNTA(A36:A39)-COUNTIF(M36:M39,"N/A")</f>
        <v/>
      </c>
      <c r="L35" s="189">
        <f>COUNTIF(M36:M39,"Met")</f>
        <v/>
      </c>
      <c r="M35" s="190">
        <f>IF(COUNTIF(M36:M39,"N/A")=COUNTA(A36:A39),"N/A",IF(COUNTIF(M36:M39,"Not Tested")&gt;0,"Not Tested","Counted"))</f>
        <v/>
      </c>
      <c r="N35" s="191">
        <f>IF(M35="N/A",IF(H35="Yes",0,""),IF(M35="Not Tested",0,IF(J35="Tier",IF(M35="Fully integrated",1,IF(M35="Standalone - manual encoding",0.5,0)),IF(J35="Binary",IF(M35="Met",1,0),IF(M35="Counted",IF(N(K35)&gt;0,IF(J35="All-or-nothing",IF(N(L35)&gt;=K35,1,0),MIN(N(L35)/K35,1)),0),0)))))</f>
        <v/>
      </c>
      <c r="O35" s="172">
        <f>IF(COUNTIF(M36:M39,"Not Met")&gt;0,COUNTIF(M36:M39,"Not Met")&amp;" of "&amp;K35&amp;" need compliance: "&amp;_xlfn.TEXTJOIN("; ",TRUE(),U36:U39),IF(COUNTIF(M36:M39,"Not Tested")&gt;0,COUNTIF(M36:M39,"Not Tested")&amp;" of "&amp;COUNTA(A36:A39)&amp;" not yet tested",IF(M35="N/A","","All compliant")))</f>
        <v/>
      </c>
      <c r="P35" s="173" t="n"/>
      <c r="Q35" s="175">
        <f>IF(N35="",0,I35)</f>
        <v/>
      </c>
      <c r="R35" s="175">
        <f>IF(N35="",0,I35*N35)</f>
        <v/>
      </c>
      <c r="S35" s="175">
        <f>IF(OR(AND(H35="Yes",M35&lt;&gt;"Not Tested",N35&lt;&gt;"",N35&lt;1),COUNTIFS(H36:H39,"Yes",M36:M39,"Not Met")+COUNTIFS(H36:H39,"Yes",M36:M39,"N/A")&gt;0),1,0)</f>
        <v/>
      </c>
      <c r="T35" s="175" t="inlineStr">
        <is>
          <t>Criterion</t>
        </is>
      </c>
      <c r="U35" s="175" t="n"/>
      <c r="V35" s="175">
        <f>COUNTA(A36:A39)-COUNTIF(M36:M39,"Not Tested")</f>
        <v/>
      </c>
      <c r="W35" s="175">
        <f>IF(AND(T35="Criterion",I35&gt;0,M35&lt;&gt;"Not Tested",N35&lt;&gt;"",OR(N(N35)&lt;1,S35=1)),A35,"")</f>
        <v/>
      </c>
    </row>
    <row r="36" ht="15.5" customHeight="1" s="125">
      <c r="A36" s="193" t="inlineStr">
        <is>
          <t>TS2-05.1</t>
        </is>
      </c>
      <c r="B36" s="194" t="inlineStr">
        <is>
          <t>↳ sub-item</t>
        </is>
      </c>
      <c r="C36" s="193" t="inlineStr">
        <is>
          <t>Date of referral</t>
        </is>
      </c>
      <c r="D36" s="195" t="inlineStr">
        <is>
          <t>(part of TS2-05)</t>
        </is>
      </c>
      <c r="E36" s="196" t="n"/>
      <c r="F36" s="196" t="n"/>
      <c r="G36" s="196" t="n"/>
      <c r="H36" s="196" t="n"/>
      <c r="I36" s="196" t="n"/>
      <c r="J36" s="196" t="n"/>
      <c r="K36" s="196" t="n"/>
      <c r="L36" s="196" t="n"/>
      <c r="M36" s="197" t="inlineStr">
        <is>
          <t>Not Tested</t>
        </is>
      </c>
      <c r="N36" s="196" t="n"/>
      <c r="O36" s="193">
        <f>IF(M36="Not Met","Needs compliance",IF(M36="Not Tested","Not yet tested",""))</f>
        <v/>
      </c>
      <c r="P36" s="166" t="n"/>
      <c r="T36" s="124" t="inlineStr">
        <is>
          <t>Sub</t>
        </is>
      </c>
      <c r="U36" s="124">
        <f>IF(M36="Not Met","("&amp;1&amp;") "&amp;IF(H36="Yes","★ ","")&amp;C36,"")</f>
        <v/>
      </c>
    </row>
    <row r="37" ht="15.5" customHeight="1" s="125">
      <c r="A37" s="193" t="inlineStr">
        <is>
          <t>TS2-05.2</t>
        </is>
      </c>
      <c r="B37" s="194" t="inlineStr">
        <is>
          <t>↳ sub-item</t>
        </is>
      </c>
      <c r="C37" s="193" t="inlineStr">
        <is>
          <t>Referral category</t>
        </is>
      </c>
      <c r="D37" s="195" t="inlineStr">
        <is>
          <t>(part of TS2-05)</t>
        </is>
      </c>
      <c r="E37" s="196" t="n"/>
      <c r="F37" s="196" t="n"/>
      <c r="G37" s="196" t="n"/>
      <c r="H37" s="196" t="inlineStr">
        <is>
          <t>Yes</t>
        </is>
      </c>
      <c r="I37" s="196" t="n"/>
      <c r="J37" s="196" t="n"/>
      <c r="K37" s="196" t="n"/>
      <c r="L37" s="196" t="n"/>
      <c r="M37" s="197" t="inlineStr">
        <is>
          <t>Not Tested</t>
        </is>
      </c>
      <c r="N37" s="196" t="n"/>
      <c r="O37" s="193">
        <f>IF(M37="Not Met","Needs compliance",IF(M37="Not Tested","Not yet tested",""))</f>
        <v/>
      </c>
      <c r="P37" s="166" t="n"/>
      <c r="T37" s="124" t="inlineStr">
        <is>
          <t>Sub</t>
        </is>
      </c>
      <c r="U37" s="124">
        <f>IF(M37="Not Met","("&amp;2&amp;") "&amp;IF(H37="Yes","★ ","")&amp;C37,"")</f>
        <v/>
      </c>
    </row>
    <row r="38" ht="15.5" customHeight="1" s="125">
      <c r="A38" s="193" t="inlineStr">
        <is>
          <t>TS2-05.3</t>
        </is>
      </c>
      <c r="B38" s="194" t="inlineStr">
        <is>
          <t>↳ sub-item</t>
        </is>
      </c>
      <c r="C38" s="193" t="inlineStr">
        <is>
          <t>Priority</t>
        </is>
      </c>
      <c r="D38" s="195" t="inlineStr">
        <is>
          <t>(part of TS2-05)</t>
        </is>
      </c>
      <c r="E38" s="196" t="n"/>
      <c r="F38" s="196" t="n"/>
      <c r="G38" s="196" t="n"/>
      <c r="H38" s="196" t="inlineStr">
        <is>
          <t>Yes</t>
        </is>
      </c>
      <c r="I38" s="196" t="n"/>
      <c r="J38" s="196" t="n"/>
      <c r="K38" s="196" t="n"/>
      <c r="L38" s="196" t="n"/>
      <c r="M38" s="197" t="inlineStr">
        <is>
          <t>Not Tested</t>
        </is>
      </c>
      <c r="N38" s="196" t="n"/>
      <c r="O38" s="193">
        <f>IF(M38="Not Met","Needs compliance",IF(M38="Not Tested","Not yet tested",""))</f>
        <v/>
      </c>
      <c r="P38" s="166" t="n"/>
      <c r="T38" s="124" t="inlineStr">
        <is>
          <t>Sub</t>
        </is>
      </c>
      <c r="U38" s="124">
        <f>IF(M38="Not Met","("&amp;3&amp;") "&amp;IF(H38="Yes","★ ","")&amp;C38,"")</f>
        <v/>
      </c>
    </row>
    <row r="39" ht="15.5" customHeight="1" s="125">
      <c r="A39" s="193" t="inlineStr">
        <is>
          <t>TS2-05.4</t>
        </is>
      </c>
      <c r="B39" s="194" t="inlineStr">
        <is>
          <t>↳ sub-item</t>
        </is>
      </c>
      <c r="C39" s="193" t="inlineStr">
        <is>
          <t>Reason for referral</t>
        </is>
      </c>
      <c r="D39" s="195" t="inlineStr">
        <is>
          <t>(part of TS2-05)</t>
        </is>
      </c>
      <c r="E39" s="196" t="n"/>
      <c r="F39" s="196" t="n"/>
      <c r="G39" s="196" t="n"/>
      <c r="H39" s="196" t="inlineStr">
        <is>
          <t>Yes</t>
        </is>
      </c>
      <c r="I39" s="196" t="n"/>
      <c r="J39" s="196" t="n"/>
      <c r="K39" s="196" t="n"/>
      <c r="L39" s="196" t="n"/>
      <c r="M39" s="197" t="inlineStr">
        <is>
          <t>Not Tested</t>
        </is>
      </c>
      <c r="N39" s="196" t="n"/>
      <c r="O39" s="193">
        <f>IF(M39="Not Met","Needs compliance",IF(M39="Not Tested","Not yet tested",""))</f>
        <v/>
      </c>
      <c r="P39" s="166" t="n"/>
      <c r="T39" s="124" t="inlineStr">
        <is>
          <t>Sub</t>
        </is>
      </c>
      <c r="U39" s="124">
        <f>IF(M39="Not Met","("&amp;4&amp;") "&amp;IF(H39="Yes","★ ","")&amp;C39,"")</f>
        <v/>
      </c>
    </row>
    <row r="40" ht="206.5" customHeight="1" s="125">
      <c r="A40" s="172" t="inlineStr">
        <is>
          <t>TS2-06</t>
        </is>
      </c>
      <c r="B40" s="172" t="inlineStr">
        <is>
          <t>Clinical findings</t>
        </is>
      </c>
      <c r="C40" s="172" t="inlineStr">
        <is>
          <t>Clinical findings are retrieved and displayed correctly</t>
        </is>
      </c>
      <c r="D40" s="172" t="inlineStr">
        <is>
          <t xml:space="preserve">Read the Condition and Encounter resources from the SHR and display it in the receiving view exactly as sent — no re-typing. Screen layout and labels are the vendor's choice; the value and its meaning must match.
Purpose: The receiving clinician understands the clinical picture before the patient arrives.
</t>
        </is>
      </c>
      <c r="E40"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40" s="172" t="inlineStr">
        <is>
          <t>Screenshot of receiving EMR + server-side evidence / resource ID</t>
        </is>
      </c>
      <c r="G40" s="172" t="inlineStr">
        <is>
          <t>Validator + server-side check + Observer</t>
        </is>
      </c>
      <c r="H40" s="188" t="inlineStr">
        <is>
          <t>★ subs</t>
        </is>
      </c>
      <c r="I40" s="172" t="n">
        <v>2</v>
      </c>
      <c r="J40" s="172" t="inlineStr">
        <is>
          <t>Count</t>
        </is>
      </c>
      <c r="K40" s="189">
        <f>COUNTA(A41:A44)-COUNTIF(M41:M44,"N/A")</f>
        <v/>
      </c>
      <c r="L40" s="189">
        <f>COUNTIF(M41:M44,"Met")</f>
        <v/>
      </c>
      <c r="M40" s="190">
        <f>IF(COUNTIF(M41:M44,"N/A")=COUNTA(A41:A44),"N/A",IF(COUNTIF(M41:M44,"Not Tested")&gt;0,"Not Tested","Counted"))</f>
        <v/>
      </c>
      <c r="N40" s="191">
        <f>IF(M40="N/A",IF(H40="Yes",0,""),IF(M40="Not Tested",0,IF(J40="Tier",IF(M40="Fully integrated",1,IF(M40="Standalone - manual encoding",0.5,0)),IF(J40="Binary",IF(M40="Met",1,0),IF(M40="Counted",IF(N(K40)&gt;0,IF(J40="All-or-nothing",IF(N(L40)&gt;=K40,1,0),MIN(N(L40)/K40,1)),0),0)))))</f>
        <v/>
      </c>
      <c r="O40" s="172">
        <f>IF(COUNTIF(M41:M44,"Not Met")&gt;0,COUNTIF(M41:M44,"Not Met")&amp;" of "&amp;K40&amp;" need compliance: "&amp;_xlfn.TEXTJOIN("; ",TRUE(),U41:U44),IF(COUNTIF(M41:M44,"Not Tested")&gt;0,COUNTIF(M41:M44,"Not Tested")&amp;" of "&amp;COUNTA(A41:A44)&amp;" not yet tested",IF(M40="N/A","","All compliant")))</f>
        <v/>
      </c>
      <c r="P40" s="173" t="n"/>
      <c r="Q40" s="175">
        <f>IF(N40="",0,I40)</f>
        <v/>
      </c>
      <c r="R40" s="175">
        <f>IF(N40="",0,I40*N40)</f>
        <v/>
      </c>
      <c r="S40" s="175">
        <f>IF(OR(AND(H40="Yes",M40&lt;&gt;"Not Tested",N40&lt;&gt;"",N40&lt;1),COUNTIFS(H41:H44,"Yes",M41:M44,"Not Met")+COUNTIFS(H41:H44,"Yes",M41:M44,"N/A")&gt;0),1,0)</f>
        <v/>
      </c>
      <c r="T40" s="175" t="inlineStr">
        <is>
          <t>Criterion</t>
        </is>
      </c>
      <c r="U40" s="175" t="n"/>
      <c r="V40" s="175">
        <f>COUNTA(A41:A44)-COUNTIF(M41:M44,"Not Tested")</f>
        <v/>
      </c>
      <c r="W40" s="175">
        <f>IF(AND(T40="Criterion",I40&gt;0,M40&lt;&gt;"Not Tested",N40&lt;&gt;"",OR(N(N40)&lt;1,S40=1)),A40,"")</f>
        <v/>
      </c>
    </row>
    <row r="41" ht="15.5" customHeight="1" s="125">
      <c r="A41" s="193" t="inlineStr">
        <is>
          <t>TS2-06.1</t>
        </is>
      </c>
      <c r="B41" s="194" t="inlineStr">
        <is>
          <t>↳ sub-item</t>
        </is>
      </c>
      <c r="C41" s="193" t="inlineStr">
        <is>
          <t>Chief complaint</t>
        </is>
      </c>
      <c r="D41" s="195" t="inlineStr">
        <is>
          <t>(part of TS2-06)</t>
        </is>
      </c>
      <c r="E41" s="196" t="n"/>
      <c r="F41" s="196" t="n"/>
      <c r="G41" s="196" t="n"/>
      <c r="H41" s="196" t="n"/>
      <c r="I41" s="196" t="n"/>
      <c r="J41" s="196" t="n"/>
      <c r="K41" s="196" t="n"/>
      <c r="L41" s="196" t="n"/>
      <c r="M41" s="197" t="inlineStr">
        <is>
          <t>Not Tested</t>
        </is>
      </c>
      <c r="N41" s="196" t="n"/>
      <c r="O41" s="193">
        <f>IF(M41="Not Met","Needs compliance",IF(M41="Not Tested","Not yet tested",""))</f>
        <v/>
      </c>
      <c r="P41" s="166" t="n"/>
      <c r="T41" s="124" t="inlineStr">
        <is>
          <t>Sub</t>
        </is>
      </c>
      <c r="U41" s="124">
        <f>IF(M41="Not Met","("&amp;1&amp;") "&amp;IF(H41="Yes","★ ","")&amp;C41,"")</f>
        <v/>
      </c>
    </row>
    <row r="42" ht="15.5" customHeight="1" s="125">
      <c r="A42" s="193" t="inlineStr">
        <is>
          <t>TS2-06.2</t>
        </is>
      </c>
      <c r="B42" s="194" t="inlineStr">
        <is>
          <t>↳ sub-item</t>
        </is>
      </c>
      <c r="C42" s="193" t="inlineStr">
        <is>
          <t>Working impression</t>
        </is>
      </c>
      <c r="D42" s="195" t="inlineStr">
        <is>
          <t>(part of TS2-06)</t>
        </is>
      </c>
      <c r="E42" s="196" t="n"/>
      <c r="F42" s="196" t="n"/>
      <c r="G42" s="196" t="n"/>
      <c r="H42" s="196" t="inlineStr">
        <is>
          <t>Yes</t>
        </is>
      </c>
      <c r="I42" s="196" t="n"/>
      <c r="J42" s="196" t="n"/>
      <c r="K42" s="196" t="n"/>
      <c r="L42" s="196" t="n"/>
      <c r="M42" s="197" t="inlineStr">
        <is>
          <t>Not Tested</t>
        </is>
      </c>
      <c r="N42" s="196" t="n"/>
      <c r="O42" s="193">
        <f>IF(M42="Not Met","Needs compliance",IF(M42="Not Tested","Not yet tested",""))</f>
        <v/>
      </c>
      <c r="P42" s="166" t="n"/>
      <c r="T42" s="124" t="inlineStr">
        <is>
          <t>Sub</t>
        </is>
      </c>
      <c r="U42" s="124">
        <f>IF(M42="Not Met","("&amp;2&amp;") "&amp;IF(H42="Yes","★ ","")&amp;C42,"")</f>
        <v/>
      </c>
    </row>
    <row r="43" ht="15.5" customHeight="1" s="125">
      <c r="A43" s="193" t="inlineStr">
        <is>
          <t>TS2-06.3</t>
        </is>
      </c>
      <c r="B43" s="194" t="inlineStr">
        <is>
          <t>↳ sub-item</t>
        </is>
      </c>
      <c r="C43" s="193" t="inlineStr">
        <is>
          <t>Clinical history</t>
        </is>
      </c>
      <c r="D43" s="195" t="inlineStr">
        <is>
          <t>(part of TS2-06)</t>
        </is>
      </c>
      <c r="E43" s="196" t="n"/>
      <c r="F43" s="196" t="n"/>
      <c r="G43" s="196" t="n"/>
      <c r="H43" s="196" t="n"/>
      <c r="I43" s="196" t="n"/>
      <c r="J43" s="196" t="n"/>
      <c r="K43" s="196" t="n"/>
      <c r="L43" s="196" t="n"/>
      <c r="M43" s="197" t="inlineStr">
        <is>
          <t>Not Tested</t>
        </is>
      </c>
      <c r="N43" s="196" t="n"/>
      <c r="O43" s="193">
        <f>IF(M43="Not Met","Needs compliance",IF(M43="Not Tested","Not yet tested",""))</f>
        <v/>
      </c>
      <c r="P43" s="166" t="n"/>
      <c r="T43" s="124" t="inlineStr">
        <is>
          <t>Sub</t>
        </is>
      </c>
      <c r="U43" s="124">
        <f>IF(M43="Not Met","("&amp;3&amp;") "&amp;IF(H43="Yes","★ ","")&amp;C43,"")</f>
        <v/>
      </c>
    </row>
    <row r="44" ht="29" customHeight="1" s="125">
      <c r="A44" s="193" t="inlineStr">
        <is>
          <t>TS2-06.4</t>
        </is>
      </c>
      <c r="B44" s="194" t="inlineStr">
        <is>
          <t>↳ sub-item</t>
        </is>
      </c>
      <c r="C44" s="193" t="inlineStr">
        <is>
          <t>Referring encounter context (date / type of visit)</t>
        </is>
      </c>
      <c r="D44" s="195" t="inlineStr">
        <is>
          <t>(part of TS2-06)</t>
        </is>
      </c>
      <c r="E44" s="196" t="n"/>
      <c r="F44" s="196" t="n"/>
      <c r="G44" s="196" t="n"/>
      <c r="H44" s="196" t="n"/>
      <c r="I44" s="196" t="n"/>
      <c r="J44" s="196" t="n"/>
      <c r="K44" s="196" t="n"/>
      <c r="L44" s="196" t="n"/>
      <c r="M44" s="197" t="inlineStr">
        <is>
          <t>Not Tested</t>
        </is>
      </c>
      <c r="N44" s="196" t="n"/>
      <c r="O44" s="193">
        <f>IF(M44="Not Met","Needs compliance",IF(M44="Not Tested","Not yet tested",""))</f>
        <v/>
      </c>
      <c r="P44" s="166" t="n"/>
      <c r="T44" s="124" t="inlineStr">
        <is>
          <t>Sub</t>
        </is>
      </c>
      <c r="U44" s="124">
        <f>IF(M44="Not Met","("&amp;4&amp;") "&amp;IF(H44="Yes","★ ","")&amp;C44,"")</f>
        <v/>
      </c>
    </row>
    <row r="45" ht="206.5" customHeight="1" s="125">
      <c r="A45" s="172" t="inlineStr">
        <is>
          <t>TS2-07</t>
        </is>
      </c>
      <c r="B45" s="172" t="inlineStr">
        <is>
          <t>Vital signs</t>
        </is>
      </c>
      <c r="C45" s="172" t="inlineStr">
        <is>
          <t>Vital signs are retrieved and displayed correctly (value and unit)</t>
        </is>
      </c>
      <c r="D45" s="172" t="inlineStr">
        <is>
          <t xml:space="preserve">Read the Observation resources from the SHR and display it in the receiving view exactly as sent — no re-typing. Screen layout and labels are the vendor's choice; the value and its meaning must match.
Purpose: Vital signs are shown exactly as measured.
</t>
        </is>
      </c>
      <c r="E45"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45" s="172" t="inlineStr">
        <is>
          <t>Screenshot of receiving EMR + server-side evidence / resource ID</t>
        </is>
      </c>
      <c r="G45" s="172" t="inlineStr">
        <is>
          <t>Validator + server-side check + Observer</t>
        </is>
      </c>
      <c r="H45" s="188" t="inlineStr">
        <is>
          <t>★ subs</t>
        </is>
      </c>
      <c r="I45" s="172" t="n">
        <v>2</v>
      </c>
      <c r="J45" s="172" t="inlineStr">
        <is>
          <t>Count</t>
        </is>
      </c>
      <c r="K45" s="189">
        <f>COUNTA(A46:A51)-COUNTIF(M46:M51,"N/A")</f>
        <v/>
      </c>
      <c r="L45" s="189">
        <f>COUNTIF(M46:M51,"Met")</f>
        <v/>
      </c>
      <c r="M45" s="190">
        <f>IF(COUNTIF(M46:M51,"N/A")=COUNTA(A46:A51),"N/A",IF(COUNTIF(M46:M51,"Not Tested")&gt;0,"Not Tested","Counted"))</f>
        <v/>
      </c>
      <c r="N45" s="191">
        <f>IF(M45="N/A",IF(H45="Yes",0,""),IF(M45="Not Tested",0,IF(J45="Tier",IF(M45="Fully integrated",1,IF(M45="Standalone - manual encoding",0.5,0)),IF(J45="Binary",IF(M45="Met",1,0),IF(M45="Counted",IF(N(K45)&gt;0,IF(J45="All-or-nothing",IF(N(L45)&gt;=K45,1,0),MIN(N(L45)/K45,1)),0),0)))))</f>
        <v/>
      </c>
      <c r="O45" s="172">
        <f>IF(COUNTIF(M46:M51,"Not Met")&gt;0,COUNTIF(M46:M51,"Not Met")&amp;" of "&amp;K45&amp;" need compliance: "&amp;_xlfn.TEXTJOIN("; ",TRUE(),U46:U51),IF(COUNTIF(M46:M51,"Not Tested")&gt;0,COUNTIF(M46:M51,"Not Tested")&amp;" of "&amp;COUNTA(A46:A51)&amp;" not yet tested",IF(M45="N/A","","All compliant")))</f>
        <v/>
      </c>
      <c r="P45" s="173" t="n"/>
      <c r="Q45" s="175">
        <f>IF(N45="",0,I45)</f>
        <v/>
      </c>
      <c r="R45" s="175">
        <f>IF(N45="",0,I45*N45)</f>
        <v/>
      </c>
      <c r="S45" s="175">
        <f>IF(OR(AND(H45="Yes",M45&lt;&gt;"Not Tested",N45&lt;&gt;"",N45&lt;1),COUNTIFS(H46:H51,"Yes",M46:M51,"Not Met")+COUNTIFS(H46:H51,"Yes",M46:M51,"N/A")&gt;0),1,0)</f>
        <v/>
      </c>
      <c r="T45" s="175" t="inlineStr">
        <is>
          <t>Criterion</t>
        </is>
      </c>
      <c r="U45" s="175" t="n"/>
      <c r="V45" s="175">
        <f>COUNTA(A46:A51)-COUNTIF(M46:M51,"Not Tested")</f>
        <v/>
      </c>
      <c r="W45" s="175">
        <f>IF(AND(T45="Criterion",I45&gt;0,M45&lt;&gt;"Not Tested",N45&lt;&gt;"",OR(N(N45)&lt;1,S45=1)),A45,"")</f>
        <v/>
      </c>
    </row>
    <row r="46" ht="15.5" customHeight="1" s="125">
      <c r="A46" s="193" t="inlineStr">
        <is>
          <t>TS2-07.1</t>
        </is>
      </c>
      <c r="B46" s="194" t="inlineStr">
        <is>
          <t>↳ sub-item</t>
        </is>
      </c>
      <c r="C46" s="193" t="inlineStr">
        <is>
          <t>Blood pressure (systolic / diastolic)</t>
        </is>
      </c>
      <c r="D46" s="195" t="inlineStr">
        <is>
          <t>(part of TS2-07)</t>
        </is>
      </c>
      <c r="E46" s="196" t="n"/>
      <c r="F46" s="196" t="n"/>
      <c r="G46" s="196" t="n"/>
      <c r="H46" s="196" t="inlineStr">
        <is>
          <t>Yes</t>
        </is>
      </c>
      <c r="I46" s="196" t="n"/>
      <c r="J46" s="196" t="n"/>
      <c r="K46" s="196" t="n"/>
      <c r="L46" s="196" t="n"/>
      <c r="M46" s="197" t="inlineStr">
        <is>
          <t>Not Tested</t>
        </is>
      </c>
      <c r="N46" s="196" t="n"/>
      <c r="O46" s="193">
        <f>IF(M46="Not Met","Needs compliance",IF(M46="Not Tested","Not yet tested",""))</f>
        <v/>
      </c>
      <c r="P46" s="166" t="n"/>
      <c r="T46" s="124" t="inlineStr">
        <is>
          <t>Sub</t>
        </is>
      </c>
      <c r="U46" s="124">
        <f>IF(M46="Not Met","("&amp;1&amp;") "&amp;IF(H46="Yes","★ ","")&amp;C46,"")</f>
        <v/>
      </c>
    </row>
    <row r="47" ht="15.5" customHeight="1" s="125">
      <c r="A47" s="193" t="inlineStr">
        <is>
          <t>TS2-07.2</t>
        </is>
      </c>
      <c r="B47" s="194" t="inlineStr">
        <is>
          <t>↳ sub-item</t>
        </is>
      </c>
      <c r="C47" s="193" t="inlineStr">
        <is>
          <t>Heart rate</t>
        </is>
      </c>
      <c r="D47" s="195" t="inlineStr">
        <is>
          <t>(part of TS2-07)</t>
        </is>
      </c>
      <c r="E47" s="196" t="n"/>
      <c r="F47" s="196" t="n"/>
      <c r="G47" s="196" t="n"/>
      <c r="H47" s="196" t="n"/>
      <c r="I47" s="196" t="n"/>
      <c r="J47" s="196" t="n"/>
      <c r="K47" s="196" t="n"/>
      <c r="L47" s="196" t="n"/>
      <c r="M47" s="197" t="inlineStr">
        <is>
          <t>Not Tested</t>
        </is>
      </c>
      <c r="N47" s="196" t="n"/>
      <c r="O47" s="193">
        <f>IF(M47="Not Met","Needs compliance",IF(M47="Not Tested","Not yet tested",""))</f>
        <v/>
      </c>
      <c r="P47" s="166" t="n"/>
      <c r="T47" s="124" t="inlineStr">
        <is>
          <t>Sub</t>
        </is>
      </c>
      <c r="U47" s="124">
        <f>IF(M47="Not Met","("&amp;2&amp;") "&amp;IF(H47="Yes","★ ","")&amp;C47,"")</f>
        <v/>
      </c>
    </row>
    <row r="48" ht="15.5" customHeight="1" s="125">
      <c r="A48" s="193" t="inlineStr">
        <is>
          <t>TS2-07.3</t>
        </is>
      </c>
      <c r="B48" s="194" t="inlineStr">
        <is>
          <t>↳ sub-item</t>
        </is>
      </c>
      <c r="C48" s="193" t="inlineStr">
        <is>
          <t>Respiratory rate</t>
        </is>
      </c>
      <c r="D48" s="195" t="inlineStr">
        <is>
          <t>(part of TS2-07)</t>
        </is>
      </c>
      <c r="E48" s="196" t="n"/>
      <c r="F48" s="196" t="n"/>
      <c r="G48" s="196" t="n"/>
      <c r="H48" s="196" t="n"/>
      <c r="I48" s="196" t="n"/>
      <c r="J48" s="196" t="n"/>
      <c r="K48" s="196" t="n"/>
      <c r="L48" s="196" t="n"/>
      <c r="M48" s="197" t="inlineStr">
        <is>
          <t>Not Tested</t>
        </is>
      </c>
      <c r="N48" s="196" t="n"/>
      <c r="O48" s="193">
        <f>IF(M48="Not Met","Needs compliance",IF(M48="Not Tested","Not yet tested",""))</f>
        <v/>
      </c>
      <c r="P48" s="166" t="n"/>
      <c r="T48" s="124" t="inlineStr">
        <is>
          <t>Sub</t>
        </is>
      </c>
      <c r="U48" s="124">
        <f>IF(M48="Not Met","("&amp;3&amp;") "&amp;IF(H48="Yes","★ ","")&amp;C48,"")</f>
        <v/>
      </c>
    </row>
    <row r="49" ht="15.5" customHeight="1" s="125">
      <c r="A49" s="193" t="inlineStr">
        <is>
          <t>TS2-07.4</t>
        </is>
      </c>
      <c r="B49" s="194" t="inlineStr">
        <is>
          <t>↳ sub-item</t>
        </is>
      </c>
      <c r="C49" s="193" t="inlineStr">
        <is>
          <t>Oxygen saturation</t>
        </is>
      </c>
      <c r="D49" s="195" t="inlineStr">
        <is>
          <t>(part of TS2-07)</t>
        </is>
      </c>
      <c r="E49" s="196" t="n"/>
      <c r="F49" s="196" t="n"/>
      <c r="G49" s="196" t="n"/>
      <c r="H49" s="196" t="n"/>
      <c r="I49" s="196" t="n"/>
      <c r="J49" s="196" t="n"/>
      <c r="K49" s="196" t="n"/>
      <c r="L49" s="196" t="n"/>
      <c r="M49" s="197" t="inlineStr">
        <is>
          <t>Not Tested</t>
        </is>
      </c>
      <c r="N49" s="196" t="n"/>
      <c r="O49" s="193">
        <f>IF(M49="Not Met","Needs compliance",IF(M49="Not Tested","Not yet tested",""))</f>
        <v/>
      </c>
      <c r="P49" s="166" t="n"/>
      <c r="T49" s="124" t="inlineStr">
        <is>
          <t>Sub</t>
        </is>
      </c>
      <c r="U49" s="124">
        <f>IF(M49="Not Met","("&amp;4&amp;") "&amp;IF(H49="Yes","★ ","")&amp;C49,"")</f>
        <v/>
      </c>
    </row>
    <row r="50" ht="15.5" customHeight="1" s="125">
      <c r="A50" s="193" t="inlineStr">
        <is>
          <t>TS2-07.5</t>
        </is>
      </c>
      <c r="B50" s="194" t="inlineStr">
        <is>
          <t>↳ sub-item</t>
        </is>
      </c>
      <c r="C50" s="193" t="inlineStr">
        <is>
          <t>Body temperature</t>
        </is>
      </c>
      <c r="D50" s="195" t="inlineStr">
        <is>
          <t>(part of TS2-07)</t>
        </is>
      </c>
      <c r="E50" s="196" t="n"/>
      <c r="F50" s="196" t="n"/>
      <c r="G50" s="196" t="n"/>
      <c r="H50" s="196" t="n"/>
      <c r="I50" s="196" t="n"/>
      <c r="J50" s="196" t="n"/>
      <c r="K50" s="196" t="n"/>
      <c r="L50" s="196" t="n"/>
      <c r="M50" s="197" t="inlineStr">
        <is>
          <t>Not Tested</t>
        </is>
      </c>
      <c r="N50" s="196" t="n"/>
      <c r="O50" s="193">
        <f>IF(M50="Not Met","Needs compliance",IF(M50="Not Tested","Not yet tested",""))</f>
        <v/>
      </c>
      <c r="P50" s="166" t="n"/>
      <c r="T50" s="124" t="inlineStr">
        <is>
          <t>Sub</t>
        </is>
      </c>
      <c r="U50" s="124">
        <f>IF(M50="Not Met","("&amp;5&amp;") "&amp;IF(H50="Yes","★ ","")&amp;C50,"")</f>
        <v/>
      </c>
    </row>
    <row r="51" ht="15.5" customHeight="1" s="125">
      <c r="A51" s="193" t="inlineStr">
        <is>
          <t>TS2-07.6</t>
        </is>
      </c>
      <c r="B51" s="194" t="inlineStr">
        <is>
          <t>↳ sub-item</t>
        </is>
      </c>
      <c r="C51" s="193" t="inlineStr">
        <is>
          <t>Body weight</t>
        </is>
      </c>
      <c r="D51" s="195" t="inlineStr">
        <is>
          <t>(part of TS2-07)</t>
        </is>
      </c>
      <c r="E51" s="196" t="n"/>
      <c r="F51" s="196" t="n"/>
      <c r="G51" s="196" t="n"/>
      <c r="H51" s="196" t="n"/>
      <c r="I51" s="196" t="n"/>
      <c r="J51" s="196" t="n"/>
      <c r="K51" s="196" t="n"/>
      <c r="L51" s="196" t="n"/>
      <c r="M51" s="197" t="inlineStr">
        <is>
          <t>Not Tested</t>
        </is>
      </c>
      <c r="N51" s="196" t="n"/>
      <c r="O51" s="193">
        <f>IF(M51="Not Met","Needs compliance",IF(M51="Not Tested","Not yet tested",""))</f>
        <v/>
      </c>
      <c r="P51" s="166" t="n"/>
      <c r="T51" s="124" t="inlineStr">
        <is>
          <t>Sub</t>
        </is>
      </c>
      <c r="U51" s="124">
        <f>IF(M51="Not Met","("&amp;6&amp;") "&amp;IF(H51="Yes","★ ","")&amp;C51,"")</f>
        <v/>
      </c>
    </row>
    <row r="52" ht="112" customHeight="1" s="125">
      <c r="A52" s="172" t="inlineStr">
        <is>
          <t>TS2-08</t>
        </is>
      </c>
      <c r="B52" s="172" t="inlineStr">
        <is>
          <t>Attachments</t>
        </is>
      </c>
      <c r="C52" s="172" t="inlineStr">
        <is>
          <t>Laboratory result attachment is received and listed with the referral</t>
        </is>
      </c>
      <c r="D52" s="172" t="inlineStr">
        <is>
          <t xml:space="preserve">Retrieve DiagnosticReport.presentedForm and list the attachment with the referral. (Opening and viewing the file is tested in L4-05.)
Purpose: Staff know a lab result came with the patient.
</t>
        </is>
      </c>
      <c r="E52" s="172" t="inlineStr">
        <is>
          <t xml:space="preserve">Met if the attachment sent in TS1-09 is listed with the received referral.
Server-side evidence — any ONE of: (a) Interoperability Layer transaction log (e.g., OpenHIM), (b) Inferno / official FHIR validator report, or (c) the raw FHIR request / response payload provided by the developer and captured during the session.
</t>
        </is>
      </c>
      <c r="F52" s="172" t="inlineStr">
        <is>
          <t>Screenshot + server-side evidence</t>
        </is>
      </c>
      <c r="G52" s="172" t="inlineStr">
        <is>
          <t>Validator + server-side check + Observer</t>
        </is>
      </c>
      <c r="H52" s="188" t="inlineStr">
        <is>
          <t>No</t>
        </is>
      </c>
      <c r="I52" s="172" t="n">
        <v>1</v>
      </c>
      <c r="J52" s="172" t="inlineStr">
        <is>
          <t>Binary</t>
        </is>
      </c>
      <c r="K52" s="189" t="n"/>
      <c r="L52" s="189" t="n"/>
      <c r="M52" s="190" t="inlineStr">
        <is>
          <t>Not Tested</t>
        </is>
      </c>
      <c r="N52" s="191">
        <f>IF(M52="N/A",IF(H52="Yes",0,""),IF(M52="Not Tested",0,IF(J52="Tier",IF(M52="Fully integrated",1,IF(M52="Standalone - manual encoding",0.5,0)),IF(J52="Binary",IF(M52="Met",1,0),IF(M52="Counted",IF(N(K52)&gt;0,IF(J52="All-or-nothing",IF(N(L52)&gt;=K52,1,0),MIN(N(L52)/K52,1)),0),0)))))</f>
        <v/>
      </c>
      <c r="O52" s="172">
        <f>IF(M52="Not Met","Needs compliance",IF(M52="Not Tested","Not yet tested",""))</f>
        <v/>
      </c>
      <c r="P52" s="173" t="n"/>
      <c r="Q52" s="175">
        <f>IF(N52="",0,I52)</f>
        <v/>
      </c>
      <c r="R52" s="175">
        <f>IF(N52="",0,I52*N52)</f>
        <v/>
      </c>
      <c r="S52" s="175">
        <f>IF(AND(H52="Yes",M52&lt;&gt;"Not Tested",N52&lt;&gt;"",N52&lt;1),1,0)</f>
        <v/>
      </c>
      <c r="T52" s="175" t="inlineStr">
        <is>
          <t>Criterion</t>
        </is>
      </c>
      <c r="U52" s="175" t="n"/>
      <c r="V52" s="175" t="n"/>
      <c r="W52" s="175">
        <f>IF(AND(T52="Criterion",I52&gt;0,M52&lt;&gt;"Not Tested",N52&lt;&gt;"",OR(N(N52)&lt;1,S52=1)),A52,"")</f>
        <v/>
      </c>
    </row>
    <row r="53" ht="206.5" customHeight="1" s="125">
      <c r="A53" s="172" t="inlineStr">
        <is>
          <t>TS2-09</t>
        </is>
      </c>
      <c r="B53" s="172" t="inlineStr">
        <is>
          <t>Treatment &amp; signature</t>
        </is>
      </c>
      <c r="C53" s="172" t="inlineStr">
        <is>
          <t>Treatment given and the professional signature are retrieved and displayed correctly</t>
        </is>
      </c>
      <c r="D53" s="172" t="inlineStr">
        <is>
          <t xml:space="preserve">Read the MedicationAdministration / Procedure and Provenance resources from the SHR and display it in the receiving view exactly as sent — no re-typing. Screen layout and labels are the vendor's choice; the value and its meaning must match.
Purpose: The receiving facility knows what was given and who attested the referral.
</t>
        </is>
      </c>
      <c r="E53"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3" s="172" t="inlineStr">
        <is>
          <t>Screenshot of receiving EMR + server-side evidence / resource ID</t>
        </is>
      </c>
      <c r="G53" s="172" t="inlineStr">
        <is>
          <t>Validator + server-side check + Observer</t>
        </is>
      </c>
      <c r="H53" s="188" t="inlineStr">
        <is>
          <t>No</t>
        </is>
      </c>
      <c r="I53" s="172" t="n">
        <v>1</v>
      </c>
      <c r="J53" s="172" t="inlineStr">
        <is>
          <t>Count</t>
        </is>
      </c>
      <c r="K53" s="189">
        <f>COUNTA(A54:A56)-COUNTIF(M54:M56,"N/A")</f>
        <v/>
      </c>
      <c r="L53" s="189">
        <f>COUNTIF(M54:M56,"Met")</f>
        <v/>
      </c>
      <c r="M53" s="190">
        <f>IF(COUNTIF(M54:M56,"N/A")=COUNTA(A54:A56),"N/A",IF(COUNTIF(M54:M56,"Not Tested")&gt;0,"Not Tested","Counted"))</f>
        <v/>
      </c>
      <c r="N53" s="191">
        <f>IF(M53="N/A",IF(H53="Yes",0,""),IF(M53="Not Tested",0,IF(J53="Tier",IF(M53="Fully integrated",1,IF(M53="Standalone - manual encoding",0.5,0)),IF(J53="Binary",IF(M53="Met",1,0),IF(M53="Counted",IF(N(K53)&gt;0,IF(J53="All-or-nothing",IF(N(L53)&gt;=K53,1,0),MIN(N(L53)/K53,1)),0),0)))))</f>
        <v/>
      </c>
      <c r="O53" s="172">
        <f>IF(COUNTIF(M54:M56,"Not Met")&gt;0,COUNTIF(M54:M56,"Not Met")&amp;" of "&amp;K53&amp;" need compliance: "&amp;_xlfn.TEXTJOIN("; ",TRUE(),U54:U56),IF(COUNTIF(M54:M56,"Not Tested")&gt;0,COUNTIF(M54:M56,"Not Tested")&amp;" of "&amp;COUNTA(A54:A56)&amp;" not yet tested",IF(M53="N/A","","All compliant")))</f>
        <v/>
      </c>
      <c r="P53" s="173" t="n"/>
      <c r="Q53" s="175">
        <f>IF(N53="",0,I53)</f>
        <v/>
      </c>
      <c r="R53" s="175">
        <f>IF(N53="",0,I53*N53)</f>
        <v/>
      </c>
      <c r="S53" s="175">
        <f>IF(OR(AND(H53="Yes",M53&lt;&gt;"Not Tested",N53&lt;&gt;"",N53&lt;1),COUNTIFS(H54:H56,"Yes",M54:M56,"Not Met")+COUNTIFS(H54:H56,"Yes",M54:M56,"N/A")&gt;0),1,0)</f>
        <v/>
      </c>
      <c r="T53" s="175" t="inlineStr">
        <is>
          <t>Criterion</t>
        </is>
      </c>
      <c r="U53" s="175" t="n"/>
      <c r="V53" s="175">
        <f>COUNTA(A54:A56)-COUNTIF(M54:M56,"Not Tested")</f>
        <v/>
      </c>
      <c r="W53" s="175">
        <f>IF(AND(T53="Criterion",I53&gt;0,M53&lt;&gt;"Not Tested",N53&lt;&gt;"",OR(N(N53)&lt;1,S53=1)),A53,"")</f>
        <v/>
      </c>
    </row>
    <row r="54" ht="15.5" customHeight="1" s="125">
      <c r="A54" s="193" t="inlineStr">
        <is>
          <t>TS2-09.1</t>
        </is>
      </c>
      <c r="B54" s="194" t="inlineStr">
        <is>
          <t>↳ sub-item</t>
        </is>
      </c>
      <c r="C54" s="193" t="inlineStr">
        <is>
          <t>Treatment given</t>
        </is>
      </c>
      <c r="D54" s="195" t="inlineStr">
        <is>
          <t>(part of TS2-09)</t>
        </is>
      </c>
      <c r="E54" s="196" t="n"/>
      <c r="F54" s="196" t="n"/>
      <c r="G54" s="196" t="n"/>
      <c r="H54" s="196" t="n"/>
      <c r="I54" s="196" t="n"/>
      <c r="J54" s="196" t="n"/>
      <c r="K54" s="196" t="n"/>
      <c r="L54" s="196" t="n"/>
      <c r="M54" s="197" t="inlineStr">
        <is>
          <t>Not Tested</t>
        </is>
      </c>
      <c r="N54" s="196" t="n"/>
      <c r="O54" s="193">
        <f>IF(M54="Not Met","Needs compliance",IF(M54="Not Tested","Not yet tested",""))</f>
        <v/>
      </c>
      <c r="P54" s="166" t="n"/>
      <c r="T54" s="124" t="inlineStr">
        <is>
          <t>Sub</t>
        </is>
      </c>
      <c r="U54" s="124">
        <f>IF(M54="Not Met","("&amp;1&amp;") "&amp;IF(H54="Yes","★ ","")&amp;C54,"")</f>
        <v/>
      </c>
    </row>
    <row r="55" ht="15.5" customHeight="1" s="125">
      <c r="A55" s="193" t="inlineStr">
        <is>
          <t>TS2-09.2</t>
        </is>
      </c>
      <c r="B55" s="194" t="inlineStr">
        <is>
          <t>↳ sub-item</t>
        </is>
      </c>
      <c r="C55" s="193" t="inlineStr">
        <is>
          <t>Professional signature</t>
        </is>
      </c>
      <c r="D55" s="195" t="inlineStr">
        <is>
          <t>(part of TS2-09)</t>
        </is>
      </c>
      <c r="E55" s="196" t="n"/>
      <c r="F55" s="196" t="n"/>
      <c r="G55" s="196" t="n"/>
      <c r="H55" s="196" t="n"/>
      <c r="I55" s="196" t="n"/>
      <c r="J55" s="196" t="n"/>
      <c r="K55" s="196" t="n"/>
      <c r="L55" s="196" t="n"/>
      <c r="M55" s="197" t="inlineStr">
        <is>
          <t>Not Tested</t>
        </is>
      </c>
      <c r="N55" s="196" t="n"/>
      <c r="O55" s="193">
        <f>IF(M55="Not Met","Needs compliance",IF(M55="Not Tested","Not yet tested",""))</f>
        <v/>
      </c>
      <c r="P55" s="166" t="n"/>
      <c r="T55" s="124" t="inlineStr">
        <is>
          <t>Sub</t>
        </is>
      </c>
      <c r="U55" s="124">
        <f>IF(M55="Not Met","("&amp;2&amp;") "&amp;IF(H55="Yes","★ ","")&amp;C55,"")</f>
        <v/>
      </c>
    </row>
    <row r="56" ht="15.5" customHeight="1" s="125">
      <c r="A56" s="193" t="inlineStr">
        <is>
          <t>TS2-09.3</t>
        </is>
      </c>
      <c r="B56" s="194" t="inlineStr">
        <is>
          <t>↳ sub-item</t>
        </is>
      </c>
      <c r="C56" s="193" t="inlineStr">
        <is>
          <t>Date &amp; time of signature</t>
        </is>
      </c>
      <c r="D56" s="195" t="inlineStr">
        <is>
          <t>(part of TS2-09)</t>
        </is>
      </c>
      <c r="E56" s="196" t="n"/>
      <c r="F56" s="196" t="n"/>
      <c r="G56" s="196" t="n"/>
      <c r="H56" s="196" t="n"/>
      <c r="I56" s="196" t="n"/>
      <c r="J56" s="196" t="n"/>
      <c r="K56" s="196" t="n"/>
      <c r="L56" s="196" t="n"/>
      <c r="M56" s="197" t="inlineStr">
        <is>
          <t>Not Tested</t>
        </is>
      </c>
      <c r="N56" s="196" t="n"/>
      <c r="O56" s="193">
        <f>IF(M56="Not Met","Needs compliance",IF(M56="Not Tested","Not yet tested",""))</f>
        <v/>
      </c>
      <c r="P56" s="166" t="n"/>
      <c r="T56" s="124" t="inlineStr">
        <is>
          <t>Sub</t>
        </is>
      </c>
      <c r="U56" s="124">
        <f>IF(M56="Not Met","("&amp;3&amp;") "&amp;IF(H56="Yes","★ ","")&amp;C56,"")</f>
        <v/>
      </c>
    </row>
    <row r="57" ht="260.5" customHeight="1" s="125">
      <c r="A57" s="172" t="inlineStr">
        <is>
          <t>TS2-10</t>
        </is>
      </c>
      <c r="B57" s="172" t="inlineStr">
        <is>
          <t>Receiving practitioner</t>
        </is>
      </c>
      <c r="C57" s="172" t="inlineStr">
        <is>
          <t>Receiving practitioner / care navigator is assigned and kept separate from the referring practitioner</t>
        </is>
      </c>
      <c r="D57" s="172" t="inlineStr">
        <is>
          <t xml:space="preserve">Read the receiving PractitionerRole referenced by Task.owner (and ServiceRequest.performer) from the SHR and display it in the receiving view exactly as sent — no re-typing. Screen layout and labels are the vendor's choice; the value and its meaning must match.
Purpose: Referring and receiving practitioners share the same resource types; the system must keep them as different people (intended behaviour).
</t>
        </is>
      </c>
      <c r="E57"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4. Assign the receiving practitioner / care navigator in the receiving EMR; confirm Task.owner on the SHR and that both practitioners appear separately on screen.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7" s="172" t="inlineStr">
        <is>
          <t>Screenshot of receiving EMR + server-side evidence / resource ID</t>
        </is>
      </c>
      <c r="G57" s="172" t="inlineStr">
        <is>
          <t>Validator + server-side check + Observer</t>
        </is>
      </c>
      <c r="H57" s="188" t="inlineStr">
        <is>
          <t>★ subs</t>
        </is>
      </c>
      <c r="I57" s="172" t="n">
        <v>2</v>
      </c>
      <c r="J57" s="172" t="inlineStr">
        <is>
          <t>Count</t>
        </is>
      </c>
      <c r="K57" s="189">
        <f>COUNTA(A58:A61)-COUNTIF(M58:M61,"N/A")</f>
        <v/>
      </c>
      <c r="L57" s="189">
        <f>COUNTIF(M58:M61,"Met")</f>
        <v/>
      </c>
      <c r="M57" s="190">
        <f>IF(COUNTIF(M58:M61,"N/A")=COUNTA(A58:A61),"N/A",IF(COUNTIF(M58:M61,"Not Tested")&gt;0,"Not Tested","Counted"))</f>
        <v/>
      </c>
      <c r="N57" s="191">
        <f>IF(M57="N/A",IF(H57="Yes",0,""),IF(M57="Not Tested",0,IF(J57="Tier",IF(M57="Fully integrated",1,IF(M57="Standalone - manual encoding",0.5,0)),IF(J57="Binary",IF(M57="Met",1,0),IF(M57="Counted",IF(N(K57)&gt;0,IF(J57="All-or-nothing",IF(N(L57)&gt;=K57,1,0),MIN(N(L57)/K57,1)),0),0)))))</f>
        <v/>
      </c>
      <c r="O57" s="172">
        <f>IF(COUNTIF(M58:M61,"Not Met")&gt;0,COUNTIF(M58:M61,"Not Met")&amp;" of "&amp;K57&amp;" need compliance: "&amp;_xlfn.TEXTJOIN("; ",TRUE(),U58:U61),IF(COUNTIF(M58:M61,"Not Tested")&gt;0,COUNTIF(M58:M61,"Not Tested")&amp;" of "&amp;COUNTA(A58:A61)&amp;" not yet tested",IF(M57="N/A","","All compliant")))</f>
        <v/>
      </c>
      <c r="P57" s="173" t="n"/>
      <c r="Q57" s="175">
        <f>IF(N57="",0,I57)</f>
        <v/>
      </c>
      <c r="R57" s="175">
        <f>IF(N57="",0,I57*N57)</f>
        <v/>
      </c>
      <c r="S57" s="175">
        <f>IF(OR(AND(H57="Yes",M57&lt;&gt;"Not Tested",N57&lt;&gt;"",N57&lt;1),COUNTIFS(H58:H61,"Yes",M58:M61,"Not Met")+COUNTIFS(H58:H61,"Yes",M58:M61,"N/A")&gt;0),1,0)</f>
        <v/>
      </c>
      <c r="T57" s="175" t="inlineStr">
        <is>
          <t>Criterion</t>
        </is>
      </c>
      <c r="U57" s="175" t="n"/>
      <c r="V57" s="175">
        <f>COUNTA(A58:A61)-COUNTIF(M58:M61,"Not Tested")</f>
        <v/>
      </c>
      <c r="W57" s="175">
        <f>IF(AND(T57="Criterion",I57&gt;0,M57&lt;&gt;"Not Tested",N57&lt;&gt;"",OR(N(N57)&lt;1,S57=1)),A57,"")</f>
        <v/>
      </c>
    </row>
    <row r="58" ht="15.5" customHeight="1" s="125">
      <c r="A58" s="193" t="inlineStr">
        <is>
          <t>TS2-10.1</t>
        </is>
      </c>
      <c r="B58" s="194" t="inlineStr">
        <is>
          <t>↳ sub-item</t>
        </is>
      </c>
      <c r="C58" s="193" t="inlineStr">
        <is>
          <t>Name of receiving practitioner</t>
        </is>
      </c>
      <c r="D58" s="195" t="inlineStr">
        <is>
          <t>(part of TS2-10)</t>
        </is>
      </c>
      <c r="E58" s="196" t="n"/>
      <c r="F58" s="196" t="n"/>
      <c r="G58" s="196" t="n"/>
      <c r="H58" s="196" t="n"/>
      <c r="I58" s="196" t="n"/>
      <c r="J58" s="196" t="n"/>
      <c r="K58" s="196" t="n"/>
      <c r="L58" s="196" t="n"/>
      <c r="M58" s="197" t="inlineStr">
        <is>
          <t>Not Tested</t>
        </is>
      </c>
      <c r="N58" s="196" t="n"/>
      <c r="O58" s="193">
        <f>IF(M58="Not Met","Needs compliance",IF(M58="Not Tested","Not yet tested",""))</f>
        <v/>
      </c>
      <c r="P58" s="166" t="n"/>
      <c r="T58" s="124" t="inlineStr">
        <is>
          <t>Sub</t>
        </is>
      </c>
      <c r="U58" s="124">
        <f>IF(M58="Not Met","("&amp;1&amp;") "&amp;IF(H58="Yes","★ ","")&amp;C58,"")</f>
        <v/>
      </c>
    </row>
    <row r="59" ht="42.5" customHeight="1" s="125">
      <c r="A59" s="193" t="inlineStr">
        <is>
          <t>TS2-10.2</t>
        </is>
      </c>
      <c r="B59" s="194" t="inlineStr">
        <is>
          <t>↳ sub-item</t>
        </is>
      </c>
      <c r="C59" s="193" t="inlineStr">
        <is>
          <t>Care navigator at the receiving facility — Task.owner (N/A if the facility does not assign one)</t>
        </is>
      </c>
      <c r="D59" s="195" t="inlineStr">
        <is>
          <t>(part of TS2-10)</t>
        </is>
      </c>
      <c r="E59" s="196" t="n"/>
      <c r="F59" s="196" t="n"/>
      <c r="G59" s="196" t="n"/>
      <c r="H59" s="196" t="n"/>
      <c r="I59" s="196" t="n"/>
      <c r="J59" s="196" t="n"/>
      <c r="K59" s="196" t="n"/>
      <c r="L59" s="196" t="n"/>
      <c r="M59" s="197" t="inlineStr">
        <is>
          <t>Not Tested</t>
        </is>
      </c>
      <c r="N59" s="196" t="n"/>
      <c r="O59" s="193">
        <f>IF(M59="Not Met","Needs compliance",IF(M59="Not Tested","Not yet tested",""))</f>
        <v/>
      </c>
      <c r="P59" s="166" t="n"/>
      <c r="T59" s="124" t="inlineStr">
        <is>
          <t>Sub</t>
        </is>
      </c>
      <c r="U59" s="124">
        <f>IF(M59="Not Met","("&amp;2&amp;") "&amp;IF(H59="Yes","★ ","")&amp;C59,"")</f>
        <v/>
      </c>
    </row>
    <row r="60" ht="15.5" customHeight="1" s="125">
      <c r="A60" s="193" t="inlineStr">
        <is>
          <t>TS2-10.3</t>
        </is>
      </c>
      <c r="B60" s="194" t="inlineStr">
        <is>
          <t>↳ sub-item</t>
        </is>
      </c>
      <c r="C60" s="193" t="inlineStr">
        <is>
          <t>Practitioner role (receiving)</t>
        </is>
      </c>
      <c r="D60" s="195" t="inlineStr">
        <is>
          <t>(part of TS2-10)</t>
        </is>
      </c>
      <c r="E60" s="196" t="n"/>
      <c r="F60" s="196" t="n"/>
      <c r="G60" s="196" t="n"/>
      <c r="H60" s="196" t="inlineStr">
        <is>
          <t>Yes</t>
        </is>
      </c>
      <c r="I60" s="196" t="n"/>
      <c r="J60" s="196" t="n"/>
      <c r="K60" s="196" t="n"/>
      <c r="L60" s="196" t="n"/>
      <c r="M60" s="197" t="inlineStr">
        <is>
          <t>Not Tested</t>
        </is>
      </c>
      <c r="N60" s="196" t="n"/>
      <c r="O60" s="193">
        <f>IF(M60="Not Met","Needs compliance",IF(M60="Not Tested","Not yet tested",""))</f>
        <v/>
      </c>
      <c r="P60" s="166" t="n"/>
      <c r="T60" s="124" t="inlineStr">
        <is>
          <t>Sub</t>
        </is>
      </c>
      <c r="U60" s="124">
        <f>IF(M60="Not Met","("&amp;3&amp;") "&amp;IF(H60="Yes","★ ","")&amp;C60,"")</f>
        <v/>
      </c>
    </row>
    <row r="61" ht="42.5" customHeight="1" s="125">
      <c r="A61" s="193" t="inlineStr">
        <is>
          <t>TS2-10.4</t>
        </is>
      </c>
      <c r="B61" s="194" t="inlineStr">
        <is>
          <t>↳ sub-item</t>
        </is>
      </c>
      <c r="C61" s="193" t="inlineStr">
        <is>
          <t>Referring and receiving practitioners are stored and displayed as separate people — not merged or overwritten</t>
        </is>
      </c>
      <c r="D61" s="195" t="inlineStr">
        <is>
          <t>(part of TS2-10)</t>
        </is>
      </c>
      <c r="E61" s="196" t="n"/>
      <c r="F61" s="196" t="n"/>
      <c r="G61" s="196" t="n"/>
      <c r="H61" s="196" t="inlineStr">
        <is>
          <t>Yes</t>
        </is>
      </c>
      <c r="I61" s="196" t="n"/>
      <c r="J61" s="196" t="n"/>
      <c r="K61" s="196" t="n"/>
      <c r="L61" s="196" t="n"/>
      <c r="M61" s="197" t="inlineStr">
        <is>
          <t>Not Tested</t>
        </is>
      </c>
      <c r="N61" s="196" t="n"/>
      <c r="O61" s="193">
        <f>IF(M61="Not Met","Needs compliance",IF(M61="Not Tested","Not yet tested",""))</f>
        <v/>
      </c>
      <c r="P61" s="166" t="n"/>
      <c r="T61" s="124" t="inlineStr">
        <is>
          <t>Sub</t>
        </is>
      </c>
      <c r="U61" s="124">
        <f>IF(M61="Not Met","("&amp;4&amp;") "&amp;IF(H61="Yes","★ ","")&amp;C61,"")</f>
        <v/>
      </c>
    </row>
    <row r="62" ht="220" customHeight="1" s="125">
      <c r="A62" s="172" t="inlineStr">
        <is>
          <t>TS2-11</t>
        </is>
      </c>
      <c r="B62" s="172" t="inlineStr">
        <is>
          <t>Referral status</t>
        </is>
      </c>
      <c r="C62" s="172" t="inlineStr">
        <is>
          <t>Receiving facility response updates the referral Task on the SHR (received → accepted / rejected → completed)</t>
        </is>
      </c>
      <c r="D62" s="172" t="inlineStr">
        <is>
          <t xml:space="preserve">Update the Task on the SHR when the receiving facility acts: received, then accepted or rejected (with reason in Task.statusReason), then completed (Task.executionPeriod.end). Receiving responses follow the eReferral Receiving Facility Response VS. Any update method is accepted.
Purpose: Both facilities and the dashboards see the true status of every referral.
</t>
        </is>
      </c>
      <c r="E62" s="172" t="inlineStr">
        <is>
          <t xml:space="preserve">1. In the receiving EMR, mark the Test Data referral Received, then Accepted, then Completed.
2. Use a second test referral to Reject with a reason.
3. Confirm each new status on the SHR with the server-side evidence. (Status timestamps are checked in TS2-13.)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2" s="172" t="inlineStr">
        <is>
          <t>Screenshots + server-side evidence of each Task update</t>
        </is>
      </c>
      <c r="G62" s="172" t="inlineStr">
        <is>
          <t>Validator + server-side check + Observer</t>
        </is>
      </c>
      <c r="H62" s="188" t="inlineStr">
        <is>
          <t>★ subs</t>
        </is>
      </c>
      <c r="I62" s="172" t="n">
        <v>2</v>
      </c>
      <c r="J62" s="172" t="inlineStr">
        <is>
          <t>Count</t>
        </is>
      </c>
      <c r="K62" s="189">
        <f>COUNTA(A63:A66)-COUNTIF(M63:M66,"N/A")</f>
        <v/>
      </c>
      <c r="L62" s="189">
        <f>COUNTIF(M63:M66,"Met")</f>
        <v/>
      </c>
      <c r="M62" s="190">
        <f>IF(COUNTIF(M63:M66,"N/A")=COUNTA(A63:A66),"N/A",IF(COUNTIF(M63:M66,"Not Tested")&gt;0,"Not Tested","Counted"))</f>
        <v/>
      </c>
      <c r="N62" s="191">
        <f>IF(M62="N/A",IF(H62="Yes",0,""),IF(M62="Not Tested",0,IF(J62="Tier",IF(M62="Fully integrated",1,IF(M62="Standalone - manual encoding",0.5,0)),IF(J62="Binary",IF(M62="Met",1,0),IF(M62="Counted",IF(N(K62)&gt;0,IF(J62="All-or-nothing",IF(N(L62)&gt;=K62,1,0),MIN(N(L62)/K62,1)),0),0)))))</f>
        <v/>
      </c>
      <c r="O62" s="172">
        <f>IF(COUNTIF(M63:M66,"Not Met")&gt;0,COUNTIF(M63:M66,"Not Met")&amp;" of "&amp;K62&amp;" need compliance: "&amp;_xlfn.TEXTJOIN("; ",TRUE(),U63:U66),IF(COUNTIF(M63:M66,"Not Tested")&gt;0,COUNTIF(M63:M66,"Not Tested")&amp;" of "&amp;COUNTA(A63:A66)&amp;" not yet tested",IF(M62="N/A","","All compliant")))</f>
        <v/>
      </c>
      <c r="P62" s="173" t="n"/>
      <c r="Q62" s="175">
        <f>IF(N62="",0,I62)</f>
        <v/>
      </c>
      <c r="R62" s="175">
        <f>IF(N62="",0,I62*N62)</f>
        <v/>
      </c>
      <c r="S62" s="175">
        <f>IF(OR(AND(H62="Yes",M62&lt;&gt;"Not Tested",N62&lt;&gt;"",N62&lt;1),COUNTIFS(H63:H66,"Yes",M63:M66,"Not Met")+COUNTIFS(H63:H66,"Yes",M63:M66,"N/A")&gt;0),1,0)</f>
        <v/>
      </c>
      <c r="T62" s="175" t="inlineStr">
        <is>
          <t>Criterion</t>
        </is>
      </c>
      <c r="U62" s="175" t="n"/>
      <c r="V62" s="175">
        <f>COUNTA(A63:A66)-COUNTIF(M63:M66,"Not Tested")</f>
        <v/>
      </c>
      <c r="W62" s="175">
        <f>IF(AND(T62="Criterion",I62&gt;0,M62&lt;&gt;"Not Tested",N62&lt;&gt;"",OR(N(N62)&lt;1,S62=1)),A62,"")</f>
        <v/>
      </c>
    </row>
    <row r="63" ht="15.5" customHeight="1" s="125">
      <c r="A63" s="193" t="inlineStr">
        <is>
          <t>TS2-11.1</t>
        </is>
      </c>
      <c r="B63" s="194" t="inlineStr">
        <is>
          <t>↳ sub-item</t>
        </is>
      </c>
      <c r="C63" s="193" t="inlineStr">
        <is>
          <t>Received — Task.status = received</t>
        </is>
      </c>
      <c r="D63" s="195" t="inlineStr">
        <is>
          <t>(part of TS2-11)</t>
        </is>
      </c>
      <c r="E63" s="196" t="n"/>
      <c r="F63" s="196" t="n"/>
      <c r="G63" s="196" t="n"/>
      <c r="H63" s="196" t="inlineStr">
        <is>
          <t>Yes</t>
        </is>
      </c>
      <c r="I63" s="196" t="n"/>
      <c r="J63" s="196" t="n"/>
      <c r="K63" s="196" t="n"/>
      <c r="L63" s="196" t="n"/>
      <c r="M63" s="197" t="inlineStr">
        <is>
          <t>Not Tested</t>
        </is>
      </c>
      <c r="N63" s="196" t="n"/>
      <c r="O63" s="193">
        <f>IF(M63="Not Met","Needs compliance",IF(M63="Not Tested","Not yet tested",""))</f>
        <v/>
      </c>
      <c r="P63" s="166" t="n"/>
      <c r="T63" s="124" t="inlineStr">
        <is>
          <t>Sub</t>
        </is>
      </c>
      <c r="U63" s="124">
        <f>IF(M63="Not Met","("&amp;1&amp;") "&amp;IF(H63="Yes","★ ","")&amp;C63,"")</f>
        <v/>
      </c>
    </row>
    <row r="64" ht="15.5" customHeight="1" s="125">
      <c r="A64" s="193" t="inlineStr">
        <is>
          <t>TS2-11.2</t>
        </is>
      </c>
      <c r="B64" s="194" t="inlineStr">
        <is>
          <t>↳ sub-item</t>
        </is>
      </c>
      <c r="C64" s="193" t="inlineStr">
        <is>
          <t>Accepted — Task.status = accepted</t>
        </is>
      </c>
      <c r="D64" s="195" t="inlineStr">
        <is>
          <t>(part of TS2-11)</t>
        </is>
      </c>
      <c r="E64" s="196" t="n"/>
      <c r="F64" s="196" t="n"/>
      <c r="G64" s="196" t="n"/>
      <c r="H64" s="196" t="inlineStr">
        <is>
          <t>Yes</t>
        </is>
      </c>
      <c r="I64" s="196" t="n"/>
      <c r="J64" s="196" t="n"/>
      <c r="K64" s="196" t="n"/>
      <c r="L64" s="196" t="n"/>
      <c r="M64" s="197" t="inlineStr">
        <is>
          <t>Not Tested</t>
        </is>
      </c>
      <c r="N64" s="196" t="n"/>
      <c r="O64" s="193">
        <f>IF(M64="Not Met","Needs compliance",IF(M64="Not Tested","Not yet tested",""))</f>
        <v/>
      </c>
      <c r="P64" s="166" t="n"/>
      <c r="T64" s="124" t="inlineStr">
        <is>
          <t>Sub</t>
        </is>
      </c>
      <c r="U64" s="124">
        <f>IF(M64="Not Met","("&amp;2&amp;") "&amp;IF(H64="Yes","★ ","")&amp;C64,"")</f>
        <v/>
      </c>
    </row>
    <row r="65" ht="42.5" customHeight="1" s="125">
      <c r="A65" s="193" t="inlineStr">
        <is>
          <t>TS2-11.3</t>
        </is>
      </c>
      <c r="B65" s="194" t="inlineStr">
        <is>
          <t>↳ sub-item</t>
        </is>
      </c>
      <c r="C65" s="193" t="inlineStr">
        <is>
          <t>Rejected with reason — Task.status = rejected + statusReason (second test referral)</t>
        </is>
      </c>
      <c r="D65" s="195" t="inlineStr">
        <is>
          <t>(part of TS2-11)</t>
        </is>
      </c>
      <c r="E65" s="196" t="n"/>
      <c r="F65" s="196" t="n"/>
      <c r="G65" s="196" t="n"/>
      <c r="H65" s="196" t="n"/>
      <c r="I65" s="196" t="n"/>
      <c r="J65" s="196" t="n"/>
      <c r="K65" s="196" t="n"/>
      <c r="L65" s="196" t="n"/>
      <c r="M65" s="197" t="inlineStr">
        <is>
          <t>Not Tested</t>
        </is>
      </c>
      <c r="N65" s="196" t="n"/>
      <c r="O65" s="193">
        <f>IF(M65="Not Met","Needs compliance",IF(M65="Not Tested","Not yet tested",""))</f>
        <v/>
      </c>
      <c r="P65" s="166" t="n"/>
      <c r="T65" s="124" t="inlineStr">
        <is>
          <t>Sub</t>
        </is>
      </c>
      <c r="U65" s="124">
        <f>IF(M65="Not Met","("&amp;3&amp;") "&amp;IF(H65="Yes","★ ","")&amp;C65,"")</f>
        <v/>
      </c>
    </row>
    <row r="66" ht="15.5" customHeight="1" s="125">
      <c r="A66" s="193" t="inlineStr">
        <is>
          <t>TS2-11.4</t>
        </is>
      </c>
      <c r="B66" s="194" t="inlineStr">
        <is>
          <t>↳ sub-item</t>
        </is>
      </c>
      <c r="C66" s="193" t="inlineStr">
        <is>
          <t>Completed — Task.status = completed</t>
        </is>
      </c>
      <c r="D66" s="195" t="inlineStr">
        <is>
          <t>(part of TS2-11)</t>
        </is>
      </c>
      <c r="E66" s="196" t="n"/>
      <c r="F66" s="196" t="n"/>
      <c r="G66" s="196" t="n"/>
      <c r="H66" s="196" t="n"/>
      <c r="I66" s="196" t="n"/>
      <c r="J66" s="196" t="n"/>
      <c r="K66" s="196" t="n"/>
      <c r="L66" s="196" t="n"/>
      <c r="M66" s="197" t="inlineStr">
        <is>
          <t>Not Tested</t>
        </is>
      </c>
      <c r="N66" s="196" t="n"/>
      <c r="O66" s="193">
        <f>IF(M66="Not Met","Needs compliance",IF(M66="Not Tested","Not yet tested",""))</f>
        <v/>
      </c>
      <c r="P66" s="166" t="n"/>
      <c r="T66" s="124" t="inlineStr">
        <is>
          <t>Sub</t>
        </is>
      </c>
      <c r="U66" s="124">
        <f>IF(M66="Not Met","("&amp;4&amp;") "&amp;IF(H66="Yes","★ ","")&amp;C66,"")</f>
        <v/>
      </c>
    </row>
    <row r="67" ht="125.5" customHeight="1" s="125">
      <c r="A67" s="172" t="inlineStr">
        <is>
          <t>TS2-12</t>
        </is>
      </c>
      <c r="B67" s="172" t="inlineStr">
        <is>
          <t>Referral status</t>
        </is>
      </c>
      <c r="C67" s="172" t="inlineStr">
        <is>
          <t>Status changes made by the receiving facility are shown at the referring facility</t>
        </is>
      </c>
      <c r="D67" s="172" t="inlineStr">
        <is>
          <t xml:space="preserve">Read the updated Task from the SHR (polling, subscription or IOL notification — vendor's choice) and show the current status to the referring facility.
Purpose: The referring facility knows whether the patient is expected.
</t>
        </is>
      </c>
      <c r="E67" s="172" t="inlineStr">
        <is>
          <t xml:space="preserve">Change the status at the receiving EMR (TS2-11); Met if the referring EMR shows the new status, including a rejection and its reason.
Server-side evidence — any ONE of: (a) Interoperability Layer transaction log (e.g., OpenHIM), (b) Inferno / official FHIR validator report, or (c) the raw FHIR request / response payload provided by the developer and captured during the session.
</t>
        </is>
      </c>
      <c r="F67" s="172" t="inlineStr">
        <is>
          <t>Screenshot at referring EMR + server-side evidence</t>
        </is>
      </c>
      <c r="G67" s="172" t="inlineStr">
        <is>
          <t>Validator + server-side check + Observer</t>
        </is>
      </c>
      <c r="H67" s="188" t="inlineStr">
        <is>
          <t>Yes</t>
        </is>
      </c>
      <c r="I67" s="172" t="n">
        <v>2</v>
      </c>
      <c r="J67" s="172" t="inlineStr">
        <is>
          <t>Binary</t>
        </is>
      </c>
      <c r="K67" s="189" t="n"/>
      <c r="L67" s="189" t="n"/>
      <c r="M67" s="190" t="inlineStr">
        <is>
          <t>Not Tested</t>
        </is>
      </c>
      <c r="N67" s="191">
        <f>IF(M67="N/A",IF(H67="Yes",0,""),IF(M67="Not Tested",0,IF(J67="Tier",IF(M67="Fully integrated",1,IF(M67="Standalone - manual encoding",0.5,0)),IF(J67="Binary",IF(M67="Met",1,0),IF(M67="Counted",IF(N(K67)&gt;0,IF(J67="All-or-nothing",IF(N(L67)&gt;=K67,1,0),MIN(N(L67)/K67,1)),0),0)))))</f>
        <v/>
      </c>
      <c r="O67" s="172">
        <f>IF(M67="Not Met","Needs compliance",IF(M67="Not Tested","Not yet tested",""))</f>
        <v/>
      </c>
      <c r="P67" s="173" t="n"/>
      <c r="Q67" s="175">
        <f>IF(N67="",0,I67)</f>
        <v/>
      </c>
      <c r="R67" s="175">
        <f>IF(N67="",0,I67*N67)</f>
        <v/>
      </c>
      <c r="S67" s="175">
        <f>IF(AND(H67="Yes",M67&lt;&gt;"Not Tested",N67&lt;&gt;"",N67&lt;1),1,0)</f>
        <v/>
      </c>
      <c r="T67" s="175" t="inlineStr">
        <is>
          <t>Criterion</t>
        </is>
      </c>
      <c r="U67" s="175" t="n"/>
      <c r="V67" s="175" t="n"/>
      <c r="W67" s="175">
        <f>IF(AND(T67="Criterion",I67&gt;0,M67&lt;&gt;"Not Tested",N67&lt;&gt;"",OR(N(N67)&lt;1,S67=1)),A67,"")</f>
        <v/>
      </c>
    </row>
    <row r="68" ht="179.5" customHeight="1" s="125">
      <c r="A68" s="172" t="inlineStr">
        <is>
          <t>TS2-13</t>
        </is>
      </c>
      <c r="B68" s="172" t="inlineStr">
        <is>
          <t>Status history</t>
        </is>
      </c>
      <c r="C68" s="172" t="inlineStr">
        <is>
          <t>Every status change of the referral is time-stamped and kept: requested, received, accepted / rejected, completed (moved from L4-06; Connectathon Issue #26)</t>
        </is>
      </c>
      <c r="D68" s="172" t="inlineStr">
        <is>
          <t xml:space="preserve">Record the date/time of each Task status change so the history can be read back (Task history / versions, Provenance, or Task.lastModified per update — vendor's choice; ERefTask marks authoredOn and lastModified as Must Support). Earlier timestamps must not be overwritten.
Purpose: Needed for audit and for turnaround time (IND-08).
</t>
        </is>
      </c>
      <c r="E68" s="172" t="inlineStr">
        <is>
          <t xml:space="preserve">Validator (server-side) reads the Task history (_history) or the linked Provenance on the SHR after TS2-11. Count the 4 status changes that have a date/time that matches when they were made.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8" s="172" t="inlineStr">
        <is>
          <t>Task history / Provenance from the SHR</t>
        </is>
      </c>
      <c r="G68" s="172" t="inlineStr">
        <is>
          <t>Validator (server-side check)</t>
        </is>
      </c>
      <c r="H68" s="188" t="inlineStr">
        <is>
          <t>Yes</t>
        </is>
      </c>
      <c r="I68" s="172" t="n">
        <v>2</v>
      </c>
      <c r="J68" s="172" t="inlineStr">
        <is>
          <t>Count</t>
        </is>
      </c>
      <c r="K68" s="189">
        <f>COUNTA(A69:A72)-COUNTIF(M69:M72,"N/A")</f>
        <v/>
      </c>
      <c r="L68" s="189">
        <f>COUNTIF(M69:M72,"Met")</f>
        <v/>
      </c>
      <c r="M68" s="190">
        <f>IF(COUNTIF(M69:M72,"N/A")=COUNTA(A69:A72),"N/A",IF(COUNTIF(M69:M72,"Not Tested")&gt;0,"Not Tested","Counted"))</f>
        <v/>
      </c>
      <c r="N68" s="191">
        <f>IF(M68="N/A",IF(H68="Yes",0,""),IF(M68="Not Tested",0,IF(J68="Tier",IF(M68="Fully integrated",1,IF(M68="Standalone - manual encoding",0.5,0)),IF(J68="Binary",IF(M68="Met",1,0),IF(M68="Counted",IF(N(K68)&gt;0,IF(J68="All-or-nothing",IF(N(L68)&gt;=K68,1,0),MIN(N(L68)/K68,1)),0),0)))))</f>
        <v/>
      </c>
      <c r="O68" s="172">
        <f>IF(COUNTIF(M69:M72,"Not Met")&gt;0,COUNTIF(M69:M72,"Not Met")&amp;" of "&amp;K68&amp;" need compliance: "&amp;_xlfn.TEXTJOIN("; ",TRUE(),U69:U72),IF(COUNTIF(M69:M72,"Not Tested")&gt;0,COUNTIF(M69:M72,"Not Tested")&amp;" of "&amp;COUNTA(A69:A72)&amp;" not yet tested",IF(M68="N/A","","All compliant")))</f>
        <v/>
      </c>
      <c r="P68" s="173" t="n"/>
      <c r="Q68" s="175">
        <f>IF(N68="",0,I68)</f>
        <v/>
      </c>
      <c r="R68" s="175">
        <f>IF(N68="",0,I68*N68)</f>
        <v/>
      </c>
      <c r="S68" s="175">
        <f>IF(OR(AND(H68="Yes",M68&lt;&gt;"Not Tested",N68&lt;&gt;"",N68&lt;1),COUNTIFS(H69:H72,"Yes",M69:M72,"Not Met")+COUNTIFS(H69:H72,"Yes",M69:M72,"N/A")&gt;0),1,0)</f>
        <v/>
      </c>
      <c r="T68" s="175" t="inlineStr">
        <is>
          <t>Criterion</t>
        </is>
      </c>
      <c r="U68" s="175" t="n"/>
      <c r="V68" s="175">
        <f>COUNTA(A69:A72)-COUNTIF(M69:M72,"Not Tested")</f>
        <v/>
      </c>
      <c r="W68" s="175">
        <f>IF(AND(T68="Criterion",I68&gt;0,M68&lt;&gt;"Not Tested",N68&lt;&gt;"",OR(N(N68)&lt;1,S68=1)),A68,"")</f>
        <v/>
      </c>
    </row>
    <row r="69" ht="29" customHeight="1" s="125">
      <c r="A69" s="193" t="inlineStr">
        <is>
          <t>TS2-13.1</t>
        </is>
      </c>
      <c r="B69" s="194" t="inlineStr">
        <is>
          <t>↳ sub-item</t>
        </is>
      </c>
      <c r="C69" s="193" t="inlineStr">
        <is>
          <t>Requested — date/time recorded (Task.authoredOn)</t>
        </is>
      </c>
      <c r="D69" s="195" t="inlineStr">
        <is>
          <t>(part of TS2-13)</t>
        </is>
      </c>
      <c r="E69" s="196" t="n"/>
      <c r="F69" s="196" t="n"/>
      <c r="G69" s="196" t="n"/>
      <c r="H69" s="196" t="inlineStr">
        <is>
          <t>Yes</t>
        </is>
      </c>
      <c r="I69" s="196" t="n"/>
      <c r="J69" s="196" t="n"/>
      <c r="K69" s="196" t="n"/>
      <c r="L69" s="196" t="n"/>
      <c r="M69" s="197" t="inlineStr">
        <is>
          <t>Not Tested</t>
        </is>
      </c>
      <c r="N69" s="196" t="n"/>
      <c r="O69" s="193">
        <f>IF(M69="Not Met","Needs compliance",IF(M69="Not Tested","Not yet tested",""))</f>
        <v/>
      </c>
      <c r="P69" s="166" t="n"/>
      <c r="T69" s="124" t="inlineStr">
        <is>
          <t>Sub</t>
        </is>
      </c>
      <c r="U69" s="124">
        <f>IF(M69="Not Met","("&amp;1&amp;") "&amp;IF(H69="Yes","★ ","")&amp;C69,"")</f>
        <v/>
      </c>
    </row>
    <row r="70" ht="29" customHeight="1" s="125">
      <c r="A70" s="193" t="inlineStr">
        <is>
          <t>TS2-13.2</t>
        </is>
      </c>
      <c r="B70" s="194" t="inlineStr">
        <is>
          <t>↳ sub-item</t>
        </is>
      </c>
      <c r="C70" s="193" t="inlineStr">
        <is>
          <t>Received — date/time recorded and kept (absorbs Rev 6 TS2-11.5)</t>
        </is>
      </c>
      <c r="D70" s="195" t="inlineStr">
        <is>
          <t>(part of TS2-13)</t>
        </is>
      </c>
      <c r="E70" s="196" t="n"/>
      <c r="F70" s="196" t="n"/>
      <c r="G70" s="196" t="n"/>
      <c r="H70" s="196" t="inlineStr">
        <is>
          <t>Yes</t>
        </is>
      </c>
      <c r="I70" s="196" t="n"/>
      <c r="J70" s="196" t="n"/>
      <c r="K70" s="196" t="n"/>
      <c r="L70" s="196" t="n"/>
      <c r="M70" s="197" t="inlineStr">
        <is>
          <t>Not Tested</t>
        </is>
      </c>
      <c r="N70" s="196" t="n"/>
      <c r="O70" s="193">
        <f>IF(M70="Not Met","Needs compliance",IF(M70="Not Tested","Not yet tested",""))</f>
        <v/>
      </c>
      <c r="P70" s="166" t="n"/>
      <c r="T70" s="124" t="inlineStr">
        <is>
          <t>Sub</t>
        </is>
      </c>
      <c r="U70" s="124">
        <f>IF(M70="Not Met","("&amp;2&amp;") "&amp;IF(H70="Yes","★ ","")&amp;C70,"")</f>
        <v/>
      </c>
    </row>
    <row r="71" ht="29" customHeight="1" s="125">
      <c r="A71" s="193" t="inlineStr">
        <is>
          <t>TS2-13.3</t>
        </is>
      </c>
      <c r="B71" s="194" t="inlineStr">
        <is>
          <t>↳ sub-item</t>
        </is>
      </c>
      <c r="C71" s="193" t="inlineStr">
        <is>
          <t>Accepted / rejected — date/time recorded and kept</t>
        </is>
      </c>
      <c r="D71" s="195" t="inlineStr">
        <is>
          <t>(part of TS2-13)</t>
        </is>
      </c>
      <c r="E71" s="196" t="n"/>
      <c r="F71" s="196" t="n"/>
      <c r="G71" s="196" t="n"/>
      <c r="H71" s="196" t="inlineStr">
        <is>
          <t>Yes</t>
        </is>
      </c>
      <c r="I71" s="196" t="n"/>
      <c r="J71" s="196" t="n"/>
      <c r="K71" s="196" t="n"/>
      <c r="L71" s="196" t="n"/>
      <c r="M71" s="197" t="inlineStr">
        <is>
          <t>Not Tested</t>
        </is>
      </c>
      <c r="N71" s="196" t="n"/>
      <c r="O71" s="193">
        <f>IF(M71="Not Met","Needs compliance",IF(M71="Not Tested","Not yet tested",""))</f>
        <v/>
      </c>
      <c r="P71" s="166" t="n"/>
      <c r="T71" s="124" t="inlineStr">
        <is>
          <t>Sub</t>
        </is>
      </c>
      <c r="U71" s="124">
        <f>IF(M71="Not Met","("&amp;3&amp;") "&amp;IF(H71="Yes","★ ","")&amp;C71,"")</f>
        <v/>
      </c>
    </row>
    <row r="72" ht="15.5" customHeight="1" s="125">
      <c r="A72" s="193" t="inlineStr">
        <is>
          <t>TS2-13.4</t>
        </is>
      </c>
      <c r="B72" s="194" t="inlineStr">
        <is>
          <t>↳ sub-item</t>
        </is>
      </c>
      <c r="C72" s="193" t="inlineStr">
        <is>
          <t>Completed — date/time recorded and kept</t>
        </is>
      </c>
      <c r="D72" s="195" t="inlineStr">
        <is>
          <t>(part of TS2-13)</t>
        </is>
      </c>
      <c r="E72" s="196" t="n"/>
      <c r="F72" s="196" t="n"/>
      <c r="G72" s="196" t="n"/>
      <c r="H72" s="196" t="inlineStr">
        <is>
          <t>Yes</t>
        </is>
      </c>
      <c r="I72" s="196" t="n"/>
      <c r="J72" s="196" t="n"/>
      <c r="K72" s="196" t="n"/>
      <c r="L72" s="196" t="n"/>
      <c r="M72" s="197" t="inlineStr">
        <is>
          <t>Not Tested</t>
        </is>
      </c>
      <c r="N72" s="196" t="n"/>
      <c r="O72" s="193">
        <f>IF(M72="Not Met","Needs compliance",IF(M72="Not Tested","Not yet tested",""))</f>
        <v/>
      </c>
      <c r="P72" s="166" t="n"/>
      <c r="T72" s="124" t="inlineStr">
        <is>
          <t>Sub</t>
        </is>
      </c>
      <c r="U72" s="124">
        <f>IF(M72="Not Met","("&amp;4&amp;") "&amp;IF(H72="Yes","★ ","")&amp;C72,"")</f>
        <v/>
      </c>
    </row>
  </sheetData>
  <autoFilter ref="A9:P72"/>
  <mergeCells count="2">
    <mergeCell ref="A2:P2"/>
    <mergeCell ref="G4:L7"/>
  </mergeCells>
  <conditionalFormatting sqref="N10:N72">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72">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72">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0 M12 M13 M14 M15 M16 M17 M18 M20 M21 M22 M24 M25 M26 M27 M28 M29 M30 M31 M32 M33 M34 M36 M37 M38 M39 M41 M42 M43 M44 M46 M47 M48 M49 M50 M51 M52 M54 M55 M56 M58 M59 M60 M61 M63 M64 M65 M66 M67 M69 M70 M71 M72"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unreleased draft · branch certificate-demo · commit e9c2d50 · built 2026-10-16 09:44 PHT</oddHeader>
    <oddFooter>&amp;C&amp;7 Page &amp;P of &amp;N</oddFooter>
    <evenHeader/>
    <evenFooter/>
    <firstHeader/>
    <firstFooter/>
  </headerFooter>
</worksheet>
</file>

<file path=xl/worksheets/sheet10.xml><?xml version="1.0" encoding="utf-8"?>
<worksheet xmlns="http://schemas.openxmlformats.org/spreadsheetml/2006/main">
  <sheetPr filterMode="0">
    <tabColor rgb="FF2E75B6"/>
    <outlinePr summaryBelow="1" summaryRight="1"/>
    <pageSetUpPr fitToPage="1"/>
  </sheetPr>
  <dimension ref="A1:W82"/>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2D — Security, Reliability &amp; Exception Handling</t>
        </is>
      </c>
    </row>
    <row r="2" ht="79.5" customHeight="1" s="125">
      <c r="A2" s="174" t="inlineStr">
        <is>
          <t>Baseline technical safeguards required before live patient data is exchanged. Each criterion states the OUTCOME tested; the minimum measurable specification is given in the Technical Baseline (Reference Guide, Ch. 3) (TB-01 to TB-14). Any product, platform or method that meets or exceeds the baseline is acceptable. Outcomes are tested by using the system (black-box); where documents are needed, vendors may choose any evidence option in Instructions 4B — internals and trade secrets are never required. DISCLAIMER: this is SECURITY CONFORMANCE TESTING of defined controls. Passing it is NOT equivalent to passing a vulnerability assessment and penetration test (VAPT) or a full cybersecurity assessment (TEC-14 only checks that an independent assessment exists). EXCEPTION HANDLING (TS3-01 to TS3-09): the EMR must not show a failed exchange as successful, must explain the error, allow correction, and leave exactly one correct referral on the SHR — inputs and expected results are in Test Data Section D (TD-D##).</t>
        </is>
      </c>
    </row>
    <row r="3"/>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Summary!D13</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8"/>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52.5" customHeight="1" s="125">
      <c r="A10" s="172" t="inlineStr">
        <is>
          <t>TEC-01</t>
        </is>
      </c>
      <c r="B10" s="172" t="inlineStr">
        <is>
          <t>Security</t>
        </is>
      </c>
      <c r="C10" s="172" t="inlineStr">
        <is>
          <t>All data exchange is encrypted in transit and meets Technical Baseline TB-01 and TB-02 (TLS 1.2 or higher, strong cipher suites, valid certificate)</t>
        </is>
      </c>
      <c r="D10" s="172" t="inlineStr">
        <is>
          <t xml:space="preserve">Encrypt every endpoint used for the eReferral (EMR ↔ SHR, terminology server, user access) with TLS 1.2 or higher and a valid certificate; disable plain HTTP or redirect it to HTTPS; disable SSL, TLS 1.0/1.1 and weak cipher suites (TB-01, TB-02). Any web server, gateway, proxy or cloud service may be used.
Purpose: Patient data cannot be read or changed while travelling over the network.
</t>
        </is>
      </c>
      <c r="E10" s="172" t="inlineStr">
        <is>
          <t xml:space="preserve">1. List every endpoint used.
2. Validator (server-side) scans each endpoint with a TLS testing tool (e.g., testssl.sh, nmap ssl-enum-ciphers or an online TLS checker).
3. Met only if EVERY endpoint uses https://, negotiates TLS 1.2 or 1.3 only, offers no cipher suite listed as not acceptable in TB-02, and has a valid, unexpired certificate matching the host name.
</t>
        </is>
      </c>
      <c r="F10" s="172" t="inlineStr">
        <is>
          <t>Endpoint list + TLS scan report per endpoint</t>
        </is>
      </c>
      <c r="G10" s="172" t="inlineStr">
        <is>
          <t>Validator (server-side check)</t>
        </is>
      </c>
      <c r="H10" s="188" t="inlineStr">
        <is>
          <t>Yes</t>
        </is>
      </c>
      <c r="I10" s="172" t="n">
        <v>2</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125.5" customHeight="1" s="125">
      <c r="A11" s="172" t="inlineStr">
        <is>
          <t>TEC-02</t>
        </is>
      </c>
      <c r="B11" s="172" t="inlineStr">
        <is>
          <t>Security</t>
        </is>
      </c>
      <c r="C11" s="172" t="inlineStr">
        <is>
          <t>Each user has a unique account; no shared logins</t>
        </is>
      </c>
      <c r="D11" s="172" t="inlineStr">
        <is>
          <t xml:space="preserve">Require one account per user; no generic or shared accounts. Protect accounts per TB-05 (minimum password length, failed-attempt lock-out or throttling, no default passwords). Any identity method is acceptable (local accounts, LDAP / Active Directory, single sign-on, OpenID Connect).
Purpose: Every action can be traced to a person.
</t>
        </is>
      </c>
      <c r="E11" s="172" t="inlineStr">
        <is>
          <t>Check that the system requires a unique account per user and that no generic/shared accounts are used for test referrals. Then try (a) a password shorter than the TB-05 minimum and (b) repeated failed log-ins. Met only if all three behave as TB-05 requires.</t>
        </is>
      </c>
      <c r="F11" s="172" t="inlineStr">
        <is>
          <t>User account list</t>
        </is>
      </c>
      <c r="G11" s="172" t="inlineStr">
        <is>
          <t>Validator + server-side check + Observer</t>
        </is>
      </c>
      <c r="H11" s="188" t="inlineStr">
        <is>
          <t>Yes</t>
        </is>
      </c>
      <c r="I11" s="172" t="n">
        <v>2</v>
      </c>
      <c r="J11" s="172" t="inlineStr">
        <is>
          <t>Binary</t>
        </is>
      </c>
      <c r="K11" s="189" t="n"/>
      <c r="L11" s="189" t="n"/>
      <c r="M11" s="190" t="inlineStr">
        <is>
          <t>Not Tested</t>
        </is>
      </c>
      <c r="N11" s="191">
        <f>IF(M11="N/A",IF(H11="Yes",0,""),IF(M11="Not Tested",0,IF(J11="Tier",IF(M11="Fully integrated",1,IF(M11="Standalone - manual encoding",0.5,0)),IF(J11="Binary",IF(M11="Met",1,0),IF(M11="Counted",IF(N(K11)&gt;0,IF(J11="All-or-nothing",IF(N(L11)&gt;=K11,1,0),MIN(N(L11)/K11,1)),0),0)))))</f>
        <v/>
      </c>
      <c r="O11" s="172">
        <f>IF(M11="Not Met","Needs compliance",IF(M11="Not Tested","Not yet tested",""))</f>
        <v/>
      </c>
      <c r="P11" s="173" t="n"/>
      <c r="Q11" s="175">
        <f>IF(N11="",0,I11)</f>
        <v/>
      </c>
      <c r="R11" s="175">
        <f>IF(N11="",0,I11*N11)</f>
        <v/>
      </c>
      <c r="S11" s="175">
        <f>IF(AND(H11="Yes",M11&lt;&gt;"Not Tested",N11&lt;&gt;"",N11&lt;1),1,0)</f>
        <v/>
      </c>
      <c r="T11" s="175" t="inlineStr">
        <is>
          <t>Criterion</t>
        </is>
      </c>
      <c r="U11" s="175" t="n"/>
      <c r="V11" s="175" t="n"/>
      <c r="W11" s="175">
        <f>IF(AND(T11="Criterion",I11&gt;0,M11&lt;&gt;"Not Tested",N11&lt;&gt;"",OR(N(N11)&lt;1,S11=1)),A11,"")</f>
        <v/>
      </c>
    </row>
    <row r="12" ht="85" customHeight="1" s="125">
      <c r="A12" s="172" t="inlineStr">
        <is>
          <t>TEC-03</t>
        </is>
      </c>
      <c r="B12" s="172" t="inlineStr">
        <is>
          <t>Security</t>
        </is>
      </c>
      <c r="C12" s="172" t="inlineStr">
        <is>
          <t>Role-based access works: (1) referring clinician, (2) receiving clinician, (3) administrator, (4) report/dashboard viewer see only what their role allows</t>
        </is>
      </c>
      <c r="D12" s="172" t="inlineStr">
        <is>
          <t xml:space="preserve">Implement role-based access for referring clinician, receiving clinician, administrator and report viewer.
Purpose: Staff only see the data they need.
</t>
        </is>
      </c>
      <c r="E12" s="172" t="inlineStr">
        <is>
          <t xml:space="preserve">Log in with each of the 4 roles and try one action outside the role. Count roles that behave correctly.
Mark each sub-item (↳) below; Achieved is counted automatically.
</t>
        </is>
      </c>
      <c r="F12" s="172" t="inlineStr">
        <is>
          <t>Screenshots per role</t>
        </is>
      </c>
      <c r="G12" s="172" t="inlineStr">
        <is>
          <t>Validator + server-side check + Observer</t>
        </is>
      </c>
      <c r="H12" s="188" t="inlineStr">
        <is>
          <t>No</t>
        </is>
      </c>
      <c r="I12" s="172" t="n">
        <v>1</v>
      </c>
      <c r="J12" s="172" t="inlineStr">
        <is>
          <t>Count</t>
        </is>
      </c>
      <c r="K12" s="189">
        <f>COUNTA(A13:A16)-COUNTIF(M13:M16,"N/A")</f>
        <v/>
      </c>
      <c r="L12" s="189">
        <f>COUNTIF(M13:M16,"Met")</f>
        <v/>
      </c>
      <c r="M12" s="190">
        <f>IF(COUNTIF(M13:M16,"N/A")=COUNTA(A13:A16),"N/A",IF(COUNTIF(M13:M16,"Not Tested")&gt;0,"Not Tested","Counted"))</f>
        <v/>
      </c>
      <c r="N12" s="191">
        <f>IF(M12="N/A",IF(H12="Yes",0,""),IF(M12="Not Tested",0,IF(J12="Tier",IF(M12="Fully integrated",1,IF(M12="Standalone - manual encoding",0.5,0)),IF(J12="Binary",IF(M12="Met",1,0),IF(M12="Counted",IF(N(K12)&gt;0,IF(J12="All-or-nothing",IF(N(L12)&gt;=K12,1,0),MIN(N(L12)/K12,1)),0),0)))))</f>
        <v/>
      </c>
      <c r="O12" s="172">
        <f>IF(COUNTIF(M13:M16,"Not Met")&gt;0,COUNTIF(M13:M16,"Not Met")&amp;" of "&amp;K12&amp;" need compliance: "&amp;_xlfn.TEXTJOIN("; ",TRUE(),U13:U16),IF(COUNTIF(M13:M16,"Not Tested")&gt;0,COUNTIF(M13:M16,"Not Tested")&amp;" of "&amp;COUNTA(A13:A16)&amp;" not yet tested",IF(M12="N/A","","All compliant")))</f>
        <v/>
      </c>
      <c r="P12" s="173" t="n"/>
      <c r="Q12" s="175">
        <f>IF(N12="",0,I12)</f>
        <v/>
      </c>
      <c r="R12" s="175">
        <f>IF(N12="",0,I12*N12)</f>
        <v/>
      </c>
      <c r="S12" s="175">
        <f>IF(OR(AND(H12="Yes",M12&lt;&gt;"Not Tested",N12&lt;&gt;"",N12&lt;1),COUNTIFS(H13:H16,"Yes",M13:M16,"Not Met")+COUNTIFS(H13:H16,"Yes",M13:M16,"N/A")&gt;0),1,0)</f>
        <v/>
      </c>
      <c r="T12" s="175" t="inlineStr">
        <is>
          <t>Criterion</t>
        </is>
      </c>
      <c r="U12" s="175" t="n"/>
      <c r="V12" s="175">
        <f>COUNTA(A13:A16)-COUNTIF(M13:M16,"Not Tested")</f>
        <v/>
      </c>
      <c r="W12" s="175">
        <f>IF(AND(T12="Criterion",I12&gt;0,M12&lt;&gt;"Not Tested",N12&lt;&gt;"",OR(N(N12)&lt;1,S12=1)),A12,"")</f>
        <v/>
      </c>
    </row>
    <row r="13" ht="29" customHeight="1" s="125">
      <c r="A13" s="193" t="inlineStr">
        <is>
          <t>TEC-03.1</t>
        </is>
      </c>
      <c r="B13" s="194" t="inlineStr">
        <is>
          <t>↳ sub-item</t>
        </is>
      </c>
      <c r="C13" s="193" t="inlineStr">
        <is>
          <t>Referring clinician role restricted correctly</t>
        </is>
      </c>
      <c r="D13" s="195" t="inlineStr">
        <is>
          <t>(part of TEC-03)</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Met","("&amp;1&amp;") "&amp;IF(H13="Yes","★ ","")&amp;C13,"")</f>
        <v/>
      </c>
    </row>
    <row r="14" ht="29" customHeight="1" s="125">
      <c r="A14" s="193" t="inlineStr">
        <is>
          <t>TEC-03.2</t>
        </is>
      </c>
      <c r="B14" s="194" t="inlineStr">
        <is>
          <t>↳ sub-item</t>
        </is>
      </c>
      <c r="C14" s="193" t="inlineStr">
        <is>
          <t>Receiving clinician role restricted correctly</t>
        </is>
      </c>
      <c r="D14" s="195" t="inlineStr">
        <is>
          <t>(part of TEC-03)</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Met","("&amp;2&amp;") "&amp;IF(H14="Yes","★ ","")&amp;C14,"")</f>
        <v/>
      </c>
    </row>
    <row r="15" ht="15.5" customHeight="1" s="125">
      <c r="A15" s="193" t="inlineStr">
        <is>
          <t>TEC-03.3</t>
        </is>
      </c>
      <c r="B15" s="194" t="inlineStr">
        <is>
          <t>↳ sub-item</t>
        </is>
      </c>
      <c r="C15" s="193" t="inlineStr">
        <is>
          <t>Administrator role restricted correctly</t>
        </is>
      </c>
      <c r="D15" s="195" t="inlineStr">
        <is>
          <t>(part of TEC-03)</t>
        </is>
      </c>
      <c r="E15" s="196" t="n"/>
      <c r="F15" s="196" t="n"/>
      <c r="G15" s="196" t="n"/>
      <c r="H15" s="196" t="n"/>
      <c r="I15" s="196" t="n"/>
      <c r="J15" s="196" t="n"/>
      <c r="K15" s="196" t="n"/>
      <c r="L15" s="196" t="n"/>
      <c r="M15" s="197" t="inlineStr">
        <is>
          <t>Not Tested</t>
        </is>
      </c>
      <c r="N15" s="196" t="n"/>
      <c r="O15" s="193">
        <f>IF(M15="Not Met","Needs compliance",IF(M15="Not Tested","Not yet tested",""))</f>
        <v/>
      </c>
      <c r="P15" s="166" t="n"/>
      <c r="T15" s="124" t="inlineStr">
        <is>
          <t>Sub</t>
        </is>
      </c>
      <c r="U15" s="124">
        <f>IF(M15="Not Met","("&amp;3&amp;") "&amp;IF(H15="Yes","★ ","")&amp;C15,"")</f>
        <v/>
      </c>
    </row>
    <row r="16" ht="29" customHeight="1" s="125">
      <c r="A16" s="193" t="inlineStr">
        <is>
          <t>TEC-03.4</t>
        </is>
      </c>
      <c r="B16" s="194" t="inlineStr">
        <is>
          <t>↳ sub-item</t>
        </is>
      </c>
      <c r="C16" s="193" t="inlineStr">
        <is>
          <t>Report / dashboard viewer role restricted correctly</t>
        </is>
      </c>
      <c r="D16" s="195" t="inlineStr">
        <is>
          <t>(part of TEC-03)</t>
        </is>
      </c>
      <c r="E16" s="196" t="n"/>
      <c r="F16" s="196" t="n"/>
      <c r="G16" s="196" t="n"/>
      <c r="H16" s="196" t="n"/>
      <c r="I16" s="196" t="n"/>
      <c r="J16" s="196" t="n"/>
      <c r="K16" s="196" t="n"/>
      <c r="L16" s="196" t="n"/>
      <c r="M16" s="197" t="inlineStr">
        <is>
          <t>Not Tested</t>
        </is>
      </c>
      <c r="N16" s="196" t="n"/>
      <c r="O16" s="193">
        <f>IF(M16="Not Met","Needs compliance",IF(M16="Not Tested","Not yet tested",""))</f>
        <v/>
      </c>
      <c r="P16" s="166" t="n"/>
      <c r="T16" s="124" t="inlineStr">
        <is>
          <t>Sub</t>
        </is>
      </c>
      <c r="U16" s="124">
        <f>IF(M16="Not Met","("&amp;4&amp;") "&amp;IF(H16="Yes","★ ","")&amp;C16,"")</f>
        <v/>
      </c>
    </row>
    <row r="17" ht="139" customHeight="1" s="125">
      <c r="A17" s="172" t="inlineStr">
        <is>
          <t>TEC-04</t>
        </is>
      </c>
      <c r="B17" s="172" t="inlineStr">
        <is>
          <t>Security</t>
        </is>
      </c>
      <c r="C17" s="172" t="inlineStr">
        <is>
          <t>Audit trail records who did what and when</t>
        </is>
      </c>
      <c r="D17" s="172" t="inlineStr">
        <is>
          <t xml:space="preserve">Log user, date/time and action for create, view, edit, send, receive, accept, decline, print, export and log-in events, with the fields required by TB-08. The storage format (database table, log file, FHIR AuditEvent, SIEM) is the vendor's choice.
Purpose: Needed for accountability and privacy compliance.
</t>
        </is>
      </c>
      <c r="E17" s="172" t="inlineStr">
        <is>
          <t xml:space="preserve">Perform the 10 actions listed in the Notes (create, view, edit, send, receive, accept, decline, print, export, log-in). Count the actions found in the audit log with user and time.
Mark each sub-item (↳) below; Achieved is counted automatically.
</t>
        </is>
      </c>
      <c r="F17" s="172" t="inlineStr">
        <is>
          <t>Audit log extract</t>
        </is>
      </c>
      <c r="G17" s="172" t="inlineStr">
        <is>
          <t>Validator + server-side check + Observer</t>
        </is>
      </c>
      <c r="H17" s="188" t="inlineStr">
        <is>
          <t>No</t>
        </is>
      </c>
      <c r="I17" s="172" t="n">
        <v>1</v>
      </c>
      <c r="J17" s="172" t="inlineStr">
        <is>
          <t>Count</t>
        </is>
      </c>
      <c r="K17" s="189">
        <f>COUNTA(A18:A27)-COUNTIF(M18:M27,"N/A")</f>
        <v/>
      </c>
      <c r="L17" s="189">
        <f>COUNTIF(M18:M27,"Met")</f>
        <v/>
      </c>
      <c r="M17" s="190">
        <f>IF(COUNTIF(M18:M27,"N/A")=COUNTA(A18:A27),"N/A",IF(COUNTIF(M18:M27,"Not Tested")&gt;0,"Not Tested","Counted"))</f>
        <v/>
      </c>
      <c r="N17" s="191">
        <f>IF(M17="N/A",IF(H17="Yes",0,""),IF(M17="Not Tested",0,IF(J17="Tier",IF(M17="Fully integrated",1,IF(M17="Standalone - manual encoding",0.5,0)),IF(J17="Binary",IF(M17="Met",1,0),IF(M17="Counted",IF(N(K17)&gt;0,IF(J17="All-or-nothing",IF(N(L17)&gt;=K17,1,0),MIN(N(L17)/K17,1)),0),0)))))</f>
        <v/>
      </c>
      <c r="O17" s="172">
        <f>IF(COUNTIF(M18:M27,"Not Met")&gt;0,COUNTIF(M18:M27,"Not Met")&amp;" of "&amp;K17&amp;" need compliance: "&amp;_xlfn.TEXTJOIN("; ",TRUE(),U18:U27),IF(COUNTIF(M18:M27,"Not Tested")&gt;0,COUNTIF(M18:M27,"Not Tested")&amp;" of "&amp;COUNTA(A18:A27)&amp;" not yet tested",IF(M17="N/A","","All compliant")))</f>
        <v/>
      </c>
      <c r="P17" s="173" t="n"/>
      <c r="Q17" s="175">
        <f>IF(N17="",0,I17)</f>
        <v/>
      </c>
      <c r="R17" s="175">
        <f>IF(N17="",0,I17*N17)</f>
        <v/>
      </c>
      <c r="S17" s="175">
        <f>IF(OR(AND(H17="Yes",M17&lt;&gt;"Not Tested",N17&lt;&gt;"",N17&lt;1),COUNTIFS(H18:H27,"Yes",M18:M27,"Not Met")+COUNTIFS(H18:H27,"Yes",M18:M27,"N/A")&gt;0),1,0)</f>
        <v/>
      </c>
      <c r="T17" s="175" t="inlineStr">
        <is>
          <t>Criterion</t>
        </is>
      </c>
      <c r="U17" s="175" t="n"/>
      <c r="V17" s="175">
        <f>COUNTA(A18:A27)-COUNTIF(M18:M27,"Not Tested")</f>
        <v/>
      </c>
      <c r="W17" s="175">
        <f>IF(AND(T17="Criterion",I17&gt;0,M17&lt;&gt;"Not Tested",N17&lt;&gt;"",OR(N(N17)&lt;1,S17=1)),A17,"")</f>
        <v/>
      </c>
    </row>
    <row r="18" ht="15.5" customHeight="1" s="125">
      <c r="A18" s="193" t="inlineStr">
        <is>
          <t>TEC-04.1</t>
        </is>
      </c>
      <c r="B18" s="194" t="inlineStr">
        <is>
          <t>↳ sub-item</t>
        </is>
      </c>
      <c r="C18" s="193" t="inlineStr">
        <is>
          <t>"Create" logged with user and date/time</t>
        </is>
      </c>
      <c r="D18" s="195" t="inlineStr">
        <is>
          <t>(part of TEC-04)</t>
        </is>
      </c>
      <c r="E18" s="196" t="n"/>
      <c r="F18" s="196" t="n"/>
      <c r="G18" s="196" t="n"/>
      <c r="H18" s="196" t="n"/>
      <c r="I18" s="196" t="n"/>
      <c r="J18" s="196" t="n"/>
      <c r="K18" s="196" t="n"/>
      <c r="L18" s="196" t="n"/>
      <c r="M18" s="197" t="inlineStr">
        <is>
          <t>Not Tested</t>
        </is>
      </c>
      <c r="N18" s="196" t="n"/>
      <c r="O18" s="193">
        <f>IF(M18="Not Met","Needs compliance",IF(M18="Not Tested","Not yet tested",""))</f>
        <v/>
      </c>
      <c r="P18" s="166" t="n"/>
      <c r="T18" s="124" t="inlineStr">
        <is>
          <t>Sub</t>
        </is>
      </c>
      <c r="U18" s="124">
        <f>IF(M18="Not Met","("&amp;1&amp;") "&amp;IF(H18="Yes","★ ","")&amp;C18,"")</f>
        <v/>
      </c>
    </row>
    <row r="19" ht="15.5" customHeight="1" s="125">
      <c r="A19" s="193" t="inlineStr">
        <is>
          <t>TEC-04.2</t>
        </is>
      </c>
      <c r="B19" s="194" t="inlineStr">
        <is>
          <t>↳ sub-item</t>
        </is>
      </c>
      <c r="C19" s="193" t="inlineStr">
        <is>
          <t>"View" logged with user and date/time</t>
        </is>
      </c>
      <c r="D19" s="195" t="inlineStr">
        <is>
          <t>(part of TEC-04)</t>
        </is>
      </c>
      <c r="E19" s="196" t="n"/>
      <c r="F19" s="196" t="n"/>
      <c r="G19" s="196" t="n"/>
      <c r="H19" s="196" t="n"/>
      <c r="I19" s="196" t="n"/>
      <c r="J19" s="196" t="n"/>
      <c r="K19" s="196" t="n"/>
      <c r="L19" s="196" t="n"/>
      <c r="M19" s="197" t="inlineStr">
        <is>
          <t>Not Tested</t>
        </is>
      </c>
      <c r="N19" s="196" t="n"/>
      <c r="O19" s="193">
        <f>IF(M19="Not Met","Needs compliance",IF(M19="Not Tested","Not yet tested",""))</f>
        <v/>
      </c>
      <c r="P19" s="166" t="n"/>
      <c r="T19" s="124" t="inlineStr">
        <is>
          <t>Sub</t>
        </is>
      </c>
      <c r="U19" s="124">
        <f>IF(M19="Not Met","("&amp;2&amp;") "&amp;IF(H19="Yes","★ ","")&amp;C19,"")</f>
        <v/>
      </c>
    </row>
    <row r="20" ht="15.5" customHeight="1" s="125">
      <c r="A20" s="193" t="inlineStr">
        <is>
          <t>TEC-04.3</t>
        </is>
      </c>
      <c r="B20" s="194" t="inlineStr">
        <is>
          <t>↳ sub-item</t>
        </is>
      </c>
      <c r="C20" s="193" t="inlineStr">
        <is>
          <t>"Edit" logged with user and date/time</t>
        </is>
      </c>
      <c r="D20" s="195" t="inlineStr">
        <is>
          <t>(part of TEC-04)</t>
        </is>
      </c>
      <c r="E20" s="196" t="n"/>
      <c r="F20" s="196" t="n"/>
      <c r="G20" s="196" t="n"/>
      <c r="H20" s="196" t="n"/>
      <c r="I20" s="196" t="n"/>
      <c r="J20" s="196" t="n"/>
      <c r="K20" s="196" t="n"/>
      <c r="L20" s="196" t="n"/>
      <c r="M20" s="197" t="inlineStr">
        <is>
          <t>Not Tested</t>
        </is>
      </c>
      <c r="N20" s="196" t="n"/>
      <c r="O20" s="193">
        <f>IF(M20="Not Met","Needs compliance",IF(M20="Not Tested","Not yet tested",""))</f>
        <v/>
      </c>
      <c r="P20" s="166" t="n"/>
      <c r="T20" s="124" t="inlineStr">
        <is>
          <t>Sub</t>
        </is>
      </c>
      <c r="U20" s="124">
        <f>IF(M20="Not Met","("&amp;3&amp;") "&amp;IF(H20="Yes","★ ","")&amp;C20,"")</f>
        <v/>
      </c>
    </row>
    <row r="21" ht="15.5" customHeight="1" s="125">
      <c r="A21" s="193" t="inlineStr">
        <is>
          <t>TEC-04.4</t>
        </is>
      </c>
      <c r="B21" s="194" t="inlineStr">
        <is>
          <t>↳ sub-item</t>
        </is>
      </c>
      <c r="C21" s="193" t="inlineStr">
        <is>
          <t>"Send" logged with user and date/time</t>
        </is>
      </c>
      <c r="D21" s="195" t="inlineStr">
        <is>
          <t>(part of TEC-04)</t>
        </is>
      </c>
      <c r="E21" s="196" t="n"/>
      <c r="F21" s="196" t="n"/>
      <c r="G21" s="196" t="n"/>
      <c r="H21" s="196" t="n"/>
      <c r="I21" s="196" t="n"/>
      <c r="J21" s="196" t="n"/>
      <c r="K21" s="196" t="n"/>
      <c r="L21" s="196" t="n"/>
      <c r="M21" s="197" t="inlineStr">
        <is>
          <t>Not Tested</t>
        </is>
      </c>
      <c r="N21" s="196" t="n"/>
      <c r="O21" s="193">
        <f>IF(M21="Not Met","Needs compliance",IF(M21="Not Tested","Not yet tested",""))</f>
        <v/>
      </c>
      <c r="P21" s="166" t="n"/>
      <c r="T21" s="124" t="inlineStr">
        <is>
          <t>Sub</t>
        </is>
      </c>
      <c r="U21" s="124">
        <f>IF(M21="Not Met","("&amp;4&amp;") "&amp;IF(H21="Yes","★ ","")&amp;C21,"")</f>
        <v/>
      </c>
    </row>
    <row r="22" ht="29" customHeight="1" s="125">
      <c r="A22" s="193" t="inlineStr">
        <is>
          <t>TEC-04.5</t>
        </is>
      </c>
      <c r="B22" s="194" t="inlineStr">
        <is>
          <t>↳ sub-item</t>
        </is>
      </c>
      <c r="C22" s="193" t="inlineStr">
        <is>
          <t>"Receive" logged with user and date/time</t>
        </is>
      </c>
      <c r="D22" s="195" t="inlineStr">
        <is>
          <t>(part of TEC-04)</t>
        </is>
      </c>
      <c r="E22" s="196" t="n"/>
      <c r="F22" s="196" t="n"/>
      <c r="G22" s="196" t="n"/>
      <c r="H22" s="196" t="n"/>
      <c r="I22" s="196" t="n"/>
      <c r="J22" s="196" t="n"/>
      <c r="K22" s="196" t="n"/>
      <c r="L22" s="196" t="n"/>
      <c r="M22" s="197" t="inlineStr">
        <is>
          <t>Not Tested</t>
        </is>
      </c>
      <c r="N22" s="196" t="n"/>
      <c r="O22" s="193">
        <f>IF(M22="Not Met","Needs compliance",IF(M22="Not Tested","Not yet tested",""))</f>
        <v/>
      </c>
      <c r="P22" s="166" t="n"/>
      <c r="T22" s="124" t="inlineStr">
        <is>
          <t>Sub</t>
        </is>
      </c>
      <c r="U22" s="124">
        <f>IF(M22="Not Met","("&amp;5&amp;") "&amp;IF(H22="Yes","★ ","")&amp;C22,"")</f>
        <v/>
      </c>
    </row>
    <row r="23" ht="15.5" customHeight="1" s="125">
      <c r="A23" s="193" t="inlineStr">
        <is>
          <t>TEC-04.6</t>
        </is>
      </c>
      <c r="B23" s="194" t="inlineStr">
        <is>
          <t>↳ sub-item</t>
        </is>
      </c>
      <c r="C23" s="193" t="inlineStr">
        <is>
          <t>"Accept" logged with user and date/time</t>
        </is>
      </c>
      <c r="D23" s="195" t="inlineStr">
        <is>
          <t>(part of TEC-04)</t>
        </is>
      </c>
      <c r="E23" s="196" t="n"/>
      <c r="F23" s="196" t="n"/>
      <c r="G23" s="196" t="n"/>
      <c r="H23" s="196" t="n"/>
      <c r="I23" s="196" t="n"/>
      <c r="J23" s="196" t="n"/>
      <c r="K23" s="196" t="n"/>
      <c r="L23" s="196" t="n"/>
      <c r="M23" s="197" t="inlineStr">
        <is>
          <t>Not Tested</t>
        </is>
      </c>
      <c r="N23" s="196" t="n"/>
      <c r="O23" s="193">
        <f>IF(M23="Not Met","Needs compliance",IF(M23="Not Tested","Not yet tested",""))</f>
        <v/>
      </c>
      <c r="P23" s="166" t="n"/>
      <c r="T23" s="124" t="inlineStr">
        <is>
          <t>Sub</t>
        </is>
      </c>
      <c r="U23" s="124">
        <f>IF(M23="Not Met","("&amp;6&amp;") "&amp;IF(H23="Yes","★ ","")&amp;C23,"")</f>
        <v/>
      </c>
    </row>
    <row r="24" ht="29" customHeight="1" s="125">
      <c r="A24" s="193" t="inlineStr">
        <is>
          <t>TEC-04.7</t>
        </is>
      </c>
      <c r="B24" s="194" t="inlineStr">
        <is>
          <t>↳ sub-item</t>
        </is>
      </c>
      <c r="C24" s="193" t="inlineStr">
        <is>
          <t>"Decline" logged with user and date/time</t>
        </is>
      </c>
      <c r="D24" s="195" t="inlineStr">
        <is>
          <t>(part of TEC-04)</t>
        </is>
      </c>
      <c r="E24" s="196" t="n"/>
      <c r="F24" s="196" t="n"/>
      <c r="G24" s="196" t="n"/>
      <c r="H24" s="196" t="n"/>
      <c r="I24" s="196" t="n"/>
      <c r="J24" s="196" t="n"/>
      <c r="K24" s="196" t="n"/>
      <c r="L24" s="196" t="n"/>
      <c r="M24" s="197" t="inlineStr">
        <is>
          <t>Not Tested</t>
        </is>
      </c>
      <c r="N24" s="196" t="n"/>
      <c r="O24" s="193">
        <f>IF(M24="Not Met","Needs compliance",IF(M24="Not Tested","Not yet tested",""))</f>
        <v/>
      </c>
      <c r="P24" s="166" t="n"/>
      <c r="T24" s="124" t="inlineStr">
        <is>
          <t>Sub</t>
        </is>
      </c>
      <c r="U24" s="124">
        <f>IF(M24="Not Met","("&amp;7&amp;") "&amp;IF(H24="Yes","★ ","")&amp;C24,"")</f>
        <v/>
      </c>
    </row>
    <row r="25" ht="15.5" customHeight="1" s="125">
      <c r="A25" s="193" t="inlineStr">
        <is>
          <t>TEC-04.8</t>
        </is>
      </c>
      <c r="B25" s="194" t="inlineStr">
        <is>
          <t>↳ sub-item</t>
        </is>
      </c>
      <c r="C25" s="193" t="inlineStr">
        <is>
          <t>"Print" logged with user and date/time</t>
        </is>
      </c>
      <c r="D25" s="195" t="inlineStr">
        <is>
          <t>(part of TEC-04)</t>
        </is>
      </c>
      <c r="E25" s="196" t="n"/>
      <c r="F25" s="196" t="n"/>
      <c r="G25" s="196" t="n"/>
      <c r="H25" s="196" t="n"/>
      <c r="I25" s="196" t="n"/>
      <c r="J25" s="196" t="n"/>
      <c r="K25" s="196" t="n"/>
      <c r="L25" s="196" t="n"/>
      <c r="M25" s="197" t="inlineStr">
        <is>
          <t>Not Tested</t>
        </is>
      </c>
      <c r="N25" s="196" t="n"/>
      <c r="O25" s="193">
        <f>IF(M25="Not Met","Needs compliance",IF(M25="Not Tested","Not yet tested",""))</f>
        <v/>
      </c>
      <c r="P25" s="166" t="n"/>
      <c r="T25" s="124" t="inlineStr">
        <is>
          <t>Sub</t>
        </is>
      </c>
      <c r="U25" s="124">
        <f>IF(M25="Not Met","("&amp;8&amp;") "&amp;IF(H25="Yes","★ ","")&amp;C25,"")</f>
        <v/>
      </c>
    </row>
    <row r="26" ht="15.5" customHeight="1" s="125">
      <c r="A26" s="193" t="inlineStr">
        <is>
          <t>TEC-04.9</t>
        </is>
      </c>
      <c r="B26" s="194" t="inlineStr">
        <is>
          <t>↳ sub-item</t>
        </is>
      </c>
      <c r="C26" s="193" t="inlineStr">
        <is>
          <t>"Export" logged with user and date/time</t>
        </is>
      </c>
      <c r="D26" s="195" t="inlineStr">
        <is>
          <t>(part of TEC-04)</t>
        </is>
      </c>
      <c r="E26" s="196" t="n"/>
      <c r="F26" s="196" t="n"/>
      <c r="G26" s="196" t="n"/>
      <c r="H26" s="196" t="n"/>
      <c r="I26" s="196" t="n"/>
      <c r="J26" s="196" t="n"/>
      <c r="K26" s="196" t="n"/>
      <c r="L26" s="196" t="n"/>
      <c r="M26" s="197" t="inlineStr">
        <is>
          <t>Not Tested</t>
        </is>
      </c>
      <c r="N26" s="196" t="n"/>
      <c r="O26" s="193">
        <f>IF(M26="Not Met","Needs compliance",IF(M26="Not Tested","Not yet tested",""))</f>
        <v/>
      </c>
      <c r="P26" s="166" t="n"/>
      <c r="T26" s="124" t="inlineStr">
        <is>
          <t>Sub</t>
        </is>
      </c>
      <c r="U26" s="124">
        <f>IF(M26="Not Met","("&amp;9&amp;") "&amp;IF(H26="Yes","★ ","")&amp;C26,"")</f>
        <v/>
      </c>
    </row>
    <row r="27" ht="15.5" customHeight="1" s="125">
      <c r="A27" s="193" t="inlineStr">
        <is>
          <t>TEC-04.10</t>
        </is>
      </c>
      <c r="B27" s="194" t="inlineStr">
        <is>
          <t>↳ sub-item</t>
        </is>
      </c>
      <c r="C27" s="193" t="inlineStr">
        <is>
          <t>"Log-in" logged with user and date/time</t>
        </is>
      </c>
      <c r="D27" s="195" t="inlineStr">
        <is>
          <t>(part of TEC-04)</t>
        </is>
      </c>
      <c r="E27" s="196" t="n"/>
      <c r="F27" s="196" t="n"/>
      <c r="G27" s="196" t="n"/>
      <c r="H27" s="196" t="n"/>
      <c r="I27" s="196" t="n"/>
      <c r="J27" s="196" t="n"/>
      <c r="K27" s="196" t="n"/>
      <c r="L27" s="196" t="n"/>
      <c r="M27" s="197" t="inlineStr">
        <is>
          <t>Not Tested</t>
        </is>
      </c>
      <c r="N27" s="196" t="n"/>
      <c r="O27" s="193">
        <f>IF(M27="Not Met","Needs compliance",IF(M27="Not Tested","Not yet tested",""))</f>
        <v/>
      </c>
      <c r="P27" s="166" t="n"/>
      <c r="T27" s="124" t="inlineStr">
        <is>
          <t>Sub</t>
        </is>
      </c>
      <c r="U27" s="124">
        <f>IF(M27="Not Met","("&amp;10&amp;") "&amp;IF(H27="Yes","★ ","")&amp;C27,"")</f>
        <v/>
      </c>
    </row>
    <row r="28" ht="112" customHeight="1" s="125">
      <c r="A28" s="172" t="inlineStr">
        <is>
          <t>TEC-05</t>
        </is>
      </c>
      <c r="B28" s="172" t="inlineStr">
        <is>
          <t>Security</t>
        </is>
      </c>
      <c r="C28" s="172" t="inlineStr">
        <is>
          <t>Automatic log-out after inactivity</t>
        </is>
      </c>
      <c r="D28" s="172" t="inlineStr">
        <is>
          <t xml:space="preserve">Log the user out, or lock the session and require re-authentication, after an idle period the facility can configure; the default must not exceed the TB-06 value.
Purpose: Unattended screens do not expose patient data.
</t>
        </is>
      </c>
      <c r="E28" s="172" t="inlineStr">
        <is>
          <t>Check the configured idle period (default per TB-06), then leave a session idle for that time. Met if the user is logged out or the session is locked and requires re-authentication.</t>
        </is>
      </c>
      <c r="F28" s="172" t="inlineStr">
        <is>
          <t>Screenshot / configuration</t>
        </is>
      </c>
      <c r="G28" s="172" t="inlineStr">
        <is>
          <t>Validator + server-side check + Observer</t>
        </is>
      </c>
      <c r="H28" s="188" t="inlineStr">
        <is>
          <t>No</t>
        </is>
      </c>
      <c r="I28" s="172" t="n">
        <v>1</v>
      </c>
      <c r="J28" s="172" t="inlineStr">
        <is>
          <t>Binary</t>
        </is>
      </c>
      <c r="K28" s="189" t="n"/>
      <c r="L28" s="189" t="n"/>
      <c r="M28" s="190" t="inlineStr">
        <is>
          <t>Not Tested</t>
        </is>
      </c>
      <c r="N28" s="191">
        <f>IF(M28="N/A",IF(H28="Yes",0,""),IF(M28="Not Tested",0,IF(J28="Tier",IF(M28="Fully integrated",1,IF(M28="Standalone - manual encoding",0.5,0)),IF(J28="Binary",IF(M28="Met",1,0),IF(M28="Counted",IF(N(K28)&gt;0,IF(J28="All-or-nothing",IF(N(L28)&gt;=K28,1,0),MIN(N(L28)/K28,1)),0),0)))))</f>
        <v/>
      </c>
      <c r="O28" s="172">
        <f>IF(M28="Not Met","Needs compliance",IF(M28="Not Tested","Not yet tested",""))</f>
        <v/>
      </c>
      <c r="P28" s="173" t="n"/>
      <c r="Q28" s="175">
        <f>IF(N28="",0,I28)</f>
        <v/>
      </c>
      <c r="R28" s="175">
        <f>IF(N28="",0,I28*N28)</f>
        <v/>
      </c>
      <c r="S28" s="175">
        <f>IF(AND(H28="Yes",M28&lt;&gt;"Not Tested",N28&lt;&gt;"",N28&lt;1),1,0)</f>
        <v/>
      </c>
      <c r="T28" s="175" t="inlineStr">
        <is>
          <t>Criterion</t>
        </is>
      </c>
      <c r="U28" s="175" t="n"/>
      <c r="V28" s="175" t="n"/>
      <c r="W28" s="175">
        <f>IF(AND(T28="Criterion",I28&gt;0,M28&lt;&gt;"Not Tested",N28&lt;&gt;"",OR(N(N28)&lt;1,S28=1)),A28,"")</f>
        <v/>
      </c>
    </row>
    <row r="29" ht="341.5" customHeight="1" s="125">
      <c r="A29" s="172" t="inlineStr">
        <is>
          <t>TEC-07</t>
        </is>
      </c>
      <c r="B29" s="172" t="inlineStr">
        <is>
          <t>Reliability</t>
        </is>
      </c>
      <c r="C29" s="172" t="inlineStr">
        <is>
          <t>Backup and restore of data held only in the system (user accounts / credentials, roles, audit trail, configuration)</t>
        </is>
      </c>
      <c r="D29" s="172" t="inlineStr">
        <is>
          <t xml:space="preserve">Provide backup and restore of data held only in the system — user accounts / credentials, roles, audit trail and configuration — meeting TB-09 (automated, encrypted, stored separately). The backup tool and location are the vendor's choice.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
Purpose: Data that exists only in the system — not on the Shared Health Record — can be recovered after a failure.
</t>
        </is>
      </c>
      <c r="E29" s="172" t="inlineStr">
        <is>
          <t xml:space="preserve">Met if ANY one of the following shows that system-only data (user accounts, audit trail, configuration) is backed up per TB-09 and can be restored:
(a) a live restore demonstration in the test environment;
(b) a dated restore-test record (log or report) accepted by the Technical Lead;
(c) a hosting / cloud-provider backup report plus a signed vendor attestation that system-only data is included and restores are tested.
Record the evidence option used in Notes.
</t>
        </is>
      </c>
      <c r="F29" s="172" t="inlineStr">
        <is>
          <t>Restore demonstration, OR restore-test record, OR provider backup report + signed attestation</t>
        </is>
      </c>
      <c r="G29" s="172" t="inlineStr">
        <is>
          <t>Validator (server-side check)</t>
        </is>
      </c>
      <c r="H29" s="188" t="inlineStr">
        <is>
          <t>No</t>
        </is>
      </c>
      <c r="I29" s="172" t="n">
        <v>1</v>
      </c>
      <c r="J29" s="172" t="inlineStr">
        <is>
          <t>Binary</t>
        </is>
      </c>
      <c r="K29" s="189" t="n"/>
      <c r="L29" s="189" t="n"/>
      <c r="M29" s="190" t="inlineStr">
        <is>
          <t>Not Tested</t>
        </is>
      </c>
      <c r="N29" s="191">
        <f>IF(M29="N/A",IF(H29="Yes",0,""),IF(M29="Not Tested",0,IF(J29="Tier",IF(M29="Fully integrated",1,IF(M29="Standalone - manual encoding",0.5,0)),IF(J29="Binary",IF(M29="Met",1,0),IF(M29="Counted",IF(N(K29)&gt;0,IF(J29="All-or-nothing",IF(N(L29)&gt;=K29,1,0),MIN(N(L29)/K29,1)),0),0)))))</f>
        <v/>
      </c>
      <c r="O29" s="172">
        <f>IF(M29="Not Met","Needs compliance",IF(M29="Not Tested","Not yet tested",""))</f>
        <v/>
      </c>
      <c r="P29" s="173" t="n"/>
      <c r="Q29" s="175">
        <f>IF(N29="",0,I29)</f>
        <v/>
      </c>
      <c r="R29" s="175">
        <f>IF(N29="",0,I29*N29)</f>
        <v/>
      </c>
      <c r="S29" s="175">
        <f>IF(AND(H29="Yes",M29&lt;&gt;"Not Tested",N29&lt;&gt;"",N29&lt;1),1,0)</f>
        <v/>
      </c>
      <c r="T29" s="175" t="inlineStr">
        <is>
          <t>Criterion</t>
        </is>
      </c>
      <c r="U29" s="175" t="n"/>
      <c r="V29" s="175" t="n"/>
      <c r="W29" s="175">
        <f>IF(AND(T29="Criterion",I29&gt;0,M29&lt;&gt;"Not Tested",N29&lt;&gt;"",OR(N(N29)&lt;1,S29=1)),A29,"")</f>
        <v/>
      </c>
    </row>
    <row r="30" ht="368.5" customHeight="1" s="125">
      <c r="A30" s="172" t="inlineStr">
        <is>
          <t>TEC-08</t>
        </is>
      </c>
      <c r="B30" s="172" t="inlineStr">
        <is>
          <t>Security</t>
        </is>
      </c>
      <c r="C30" s="172" t="inlineStr">
        <is>
          <t>Data held by the system is encrypted at rest (TB-03) and user passwords are stored only as salted adaptive hashes (TB-04)</t>
        </is>
      </c>
      <c r="D30" s="172" t="inlineStr">
        <is>
          <t xml:space="preserve">Encrypt personal and health data held by the system — database, stored files/attachments and backups — with AES-128 or stronger, keeping keys separate from the data (TB-03). Store passwords only as salted hashes using Argon2id, bcrypt, scrypt or PBKDF2 (TB-04). Any encryption layer is acceptable (full-disk/volume, database, file or field level).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
Purpose: A stolen disk, database copy or backup does not expose patient data or passwords.
</t>
        </is>
      </c>
      <c r="E30" s="172" t="inlineStr">
        <is>
          <t xml:space="preserve">Met if compliance with BOTH TB-03 and TB-04 is shown by any accepted evidence option, e.g.:
(a) view-only demonstration of the encryption setting and of the stored form of one TEST password;
(b) configuration screenshots with key values masked;
(c) cloud-provider encryption setting or independent certification covering encryption at rest, plus a signed attestation naming the password-hashing algorithm.
Not Met if any evidence shows plain-text, reversible or MD5 / SHA-1 password storage, or no encryption at rest. Record the evidence option used in Notes.
</t>
        </is>
      </c>
      <c r="F30" s="172" t="inlineStr">
        <is>
          <t>Any accepted evidence option (view-only demo, masked screenshots, certification + signed attestation)</t>
        </is>
      </c>
      <c r="G30" s="172" t="inlineStr">
        <is>
          <t>Validator + server-side check + Observer</t>
        </is>
      </c>
      <c r="H30" s="188" t="inlineStr">
        <is>
          <t>No</t>
        </is>
      </c>
      <c r="I30" s="172" t="n">
        <v>2</v>
      </c>
      <c r="J30" s="172" t="inlineStr">
        <is>
          <t>Binary</t>
        </is>
      </c>
      <c r="K30" s="189" t="n"/>
      <c r="L30" s="189" t="n"/>
      <c r="M30" s="190" t="inlineStr">
        <is>
          <t>Not Tested</t>
        </is>
      </c>
      <c r="N30" s="191">
        <f>IF(M30="N/A",IF(H30="Yes",0,""),IF(M30="Not Tested",0,IF(J30="Tier",IF(M30="Fully integrated",1,IF(M30="Standalone - manual encoding",0.5,0)),IF(J30="Binary",IF(M30="Met",1,0),IF(M30="Counted",IF(N(K30)&gt;0,IF(J30="All-or-nothing",IF(N(L30)&gt;=K30,1,0),MIN(N(L30)/K30,1)),0),0)))))</f>
        <v/>
      </c>
      <c r="O30" s="172">
        <f>IF(M30="Not Met","Needs compliance",IF(M30="Not Tested","Not yet tested",""))</f>
        <v/>
      </c>
      <c r="P30" s="173" t="n"/>
      <c r="Q30" s="175">
        <f>IF(N30="",0,I30)</f>
        <v/>
      </c>
      <c r="R30" s="175">
        <f>IF(N30="",0,I30*N30)</f>
        <v/>
      </c>
      <c r="S30" s="175">
        <f>IF(AND(H30="Yes",M30&lt;&gt;"Not Tested",N30&lt;&gt;"",N30&lt;1),1,0)</f>
        <v/>
      </c>
      <c r="T30" s="175" t="inlineStr">
        <is>
          <t>Criterion</t>
        </is>
      </c>
      <c r="U30" s="175" t="n"/>
      <c r="V30" s="175" t="n"/>
      <c r="W30" s="175">
        <f>IF(AND(T30="Criterion",I30&gt;0,M30&lt;&gt;"Not Tested",N30&lt;&gt;"",OR(N(N30)&lt;1,S30=1)),A30,"")</f>
        <v/>
      </c>
    </row>
    <row r="31" ht="260.5" customHeight="1" s="125">
      <c r="A31" s="172" t="inlineStr">
        <is>
          <t>TEC-09</t>
        </is>
      </c>
      <c r="B31" s="172" t="inlineStr">
        <is>
          <t>Access boundaries</t>
        </is>
      </c>
      <c r="C31" s="172" t="inlineStr">
        <is>
          <t>Access boundaries hold: failed log-ins are handled safely, users cannot see or act on another facility's referrals, and users cannot raise their own privileges</t>
        </is>
      </c>
      <c r="D31" s="172" t="inlineStr">
        <is>
          <t xml:space="preserve">Enforce authorisation on the SERVER side for every screen and API call: by role (TEC-03) and by facility (a user acts only for the facility/ies assigned). Reject guessed or changed record IDs that belong to another facility. Use generic log-in error messages and lock-out / throttling per TB-05.
Purpose: Prevents the most common real-world breaches — staff or outsiders reading records they are not entitled to.
</t>
        </is>
      </c>
      <c r="E31" s="172" t="inlineStr">
        <is>
          <t xml:space="preserve">Use two test accounts: User A (referring clinician, Facility A) and User B (receiving clinician, Facility B), plus TD-D18 to TD-D21.
1. Enter a wrong password for a valid user and for a non-existent user: messages must be identical; after the TB-05 limit the account is locked or throttled.
2. As User A, try to open a referral addressed only to Facility C (list, search, direct link).
3. Change the referral / patient ID in the URL or API call to one belonging to Facility C.
4. As a non-administrator, open an administrator page by direct URL / API and try to change your own role.
5. Call the EMR's API without a valid session / token.
Mark each sub-item (↳) below; Achieved is counted automatically. ★ = critical sub-item: if it is Not Met (or N/A) the criterion counts as a critical failure.
</t>
        </is>
      </c>
      <c r="F31" s="172" t="inlineStr">
        <is>
          <t>Screenshots / HTTP responses per step (black-box)</t>
        </is>
      </c>
      <c r="G31" s="172" t="inlineStr">
        <is>
          <t>Validator + server-side check + Observer</t>
        </is>
      </c>
      <c r="H31" s="188" t="inlineStr">
        <is>
          <t>Yes</t>
        </is>
      </c>
      <c r="I31" s="172" t="n">
        <v>2</v>
      </c>
      <c r="J31" s="172" t="inlineStr">
        <is>
          <t>Count</t>
        </is>
      </c>
      <c r="K31" s="189">
        <f>COUNTA(A32:A36)-COUNTIF(M32:M36,"N/A")</f>
        <v/>
      </c>
      <c r="L31" s="189">
        <f>COUNTIF(M32:M36,"Met")</f>
        <v/>
      </c>
      <c r="M31" s="190">
        <f>IF(COUNTIF(M32:M36,"N/A")=COUNTA(A32:A36),"N/A",IF(COUNTIF(M32:M36,"Not Tested")&gt;0,"Not Tested","Counted"))</f>
        <v/>
      </c>
      <c r="N31" s="191">
        <f>IF(M31="N/A",IF(H31="Yes",0,""),IF(M31="Not Tested",0,IF(J31="Tier",IF(M31="Fully integrated",1,IF(M31="Standalone - manual encoding",0.5,0)),IF(J31="Binary",IF(M31="Met",1,0),IF(M31="Counted",IF(N(K31)&gt;0,IF(J31="All-or-nothing",IF(N(L31)&gt;=K31,1,0),MIN(N(L31)/K31,1)),0),0)))))</f>
        <v/>
      </c>
      <c r="O31" s="172">
        <f>IF(COUNTIF(M32:M36,"Not Met")&gt;0,COUNTIF(M32:M36,"Not Met")&amp;" of "&amp;K31&amp;" need compliance: "&amp;_xlfn.TEXTJOIN("; ",TRUE(),U32:U36),IF(COUNTIF(M32:M36,"Not Tested")&gt;0,COUNTIF(M32:M36,"Not Tested")&amp;" of "&amp;COUNTA(A32:A36)&amp;" not yet tested",IF(M31="N/A","","All compliant")))</f>
        <v/>
      </c>
      <c r="P31" s="173" t="n"/>
      <c r="Q31" s="175">
        <f>IF(N31="",0,I31)</f>
        <v/>
      </c>
      <c r="R31" s="175">
        <f>IF(N31="",0,I31*N31)</f>
        <v/>
      </c>
      <c r="S31" s="175">
        <f>IF(OR(AND(H31="Yes",M31&lt;&gt;"Not Tested",N31&lt;&gt;"",N31&lt;1),COUNTIFS(H32:H36,"Yes",M32:M36,"Not Met")+COUNTIFS(H32:H36,"Yes",M32:M36,"N/A")&gt;0),1,0)</f>
        <v/>
      </c>
      <c r="T31" s="175" t="inlineStr">
        <is>
          <t>Criterion</t>
        </is>
      </c>
      <c r="U31" s="175" t="n"/>
      <c r="V31" s="175">
        <f>COUNTA(A32:A36)-COUNTIF(M32:M36,"Not Tested")</f>
        <v/>
      </c>
      <c r="W31" s="175">
        <f>IF(AND(T31="Criterion",I31&gt;0,M31&lt;&gt;"Not Tested",N31&lt;&gt;"",OR(N(N31)&lt;1,S31=1)),A31,"")</f>
        <v/>
      </c>
    </row>
    <row r="32" ht="42.5" customHeight="1" s="125">
      <c r="A32" s="193" t="inlineStr">
        <is>
          <t>TEC-09.1</t>
        </is>
      </c>
      <c r="B32" s="194" t="inlineStr">
        <is>
          <t>↳ sub-item</t>
        </is>
      </c>
      <c r="C32" s="193" t="inlineStr">
        <is>
          <t>Failed log-in: generic message (no user enumeration) and lock-out / throttling per TB-05 (TD-D18)</t>
        </is>
      </c>
      <c r="D32" s="195" t="inlineStr">
        <is>
          <t>(part of TEC-09)</t>
        </is>
      </c>
      <c r="E32" s="196" t="n"/>
      <c r="F32" s="196" t="n"/>
      <c r="G32" s="196" t="n"/>
      <c r="H32" s="196" t="n"/>
      <c r="I32" s="196" t="n"/>
      <c r="J32" s="196" t="n"/>
      <c r="K32" s="196" t="n"/>
      <c r="L32" s="196" t="n"/>
      <c r="M32" s="197" t="inlineStr">
        <is>
          <t>Not Tested</t>
        </is>
      </c>
      <c r="N32" s="196" t="n"/>
      <c r="O32" s="193">
        <f>IF(M32="Not Met","Needs compliance",IF(M32="Not Tested","Not yet tested",""))</f>
        <v/>
      </c>
      <c r="P32" s="166" t="n"/>
      <c r="T32" s="124" t="inlineStr">
        <is>
          <t>Sub</t>
        </is>
      </c>
      <c r="U32" s="124">
        <f>IF(M32="Not Met","("&amp;1&amp;") "&amp;IF(H32="Yes","★ ","")&amp;C32,"")</f>
        <v/>
      </c>
    </row>
    <row r="33" ht="42.5" customHeight="1" s="125">
      <c r="A33" s="193" t="inlineStr">
        <is>
          <t>TEC-09.2</t>
        </is>
      </c>
      <c r="B33" s="194" t="inlineStr">
        <is>
          <t>↳ sub-item</t>
        </is>
      </c>
      <c r="C33" s="193" t="inlineStr">
        <is>
          <t>Cross-facility access blocked — referrals of another facility cannot be listed, searched or opened (TD-D19)</t>
        </is>
      </c>
      <c r="D33" s="195" t="inlineStr">
        <is>
          <t>(part of TEC-09)</t>
        </is>
      </c>
      <c r="E33" s="196" t="n"/>
      <c r="F33" s="196" t="n"/>
      <c r="G33" s="196" t="n"/>
      <c r="H33" s="196" t="inlineStr">
        <is>
          <t>Yes</t>
        </is>
      </c>
      <c r="I33" s="196" t="n"/>
      <c r="J33" s="196" t="n"/>
      <c r="K33" s="196" t="n"/>
      <c r="L33" s="196" t="n"/>
      <c r="M33" s="197" t="inlineStr">
        <is>
          <t>Not Tested</t>
        </is>
      </c>
      <c r="N33" s="196" t="n"/>
      <c r="O33" s="193">
        <f>IF(M33="Not Met","Needs compliance",IF(M33="Not Tested","Not yet tested",""))</f>
        <v/>
      </c>
      <c r="P33" s="166" t="n"/>
      <c r="T33" s="124" t="inlineStr">
        <is>
          <t>Sub</t>
        </is>
      </c>
      <c r="U33" s="124">
        <f>IF(M33="Not Met","("&amp;2&amp;") "&amp;IF(H33="Yes","★ ","")&amp;C33,"")</f>
        <v/>
      </c>
    </row>
    <row r="34" ht="42.5" customHeight="1" s="125">
      <c r="A34" s="193" t="inlineStr">
        <is>
          <t>TEC-09.3</t>
        </is>
      </c>
      <c r="B34" s="194" t="inlineStr">
        <is>
          <t>↳ sub-item</t>
        </is>
      </c>
      <c r="C34" s="193" t="inlineStr">
        <is>
          <t>Direct object reference blocked — changing an ID in the URL / API does not reveal another facility's data (TD-D20)</t>
        </is>
      </c>
      <c r="D34" s="195" t="inlineStr">
        <is>
          <t>(part of TEC-09)</t>
        </is>
      </c>
      <c r="E34" s="196" t="n"/>
      <c r="F34" s="196" t="n"/>
      <c r="G34" s="196" t="n"/>
      <c r="H34" s="196" t="inlineStr">
        <is>
          <t>Yes</t>
        </is>
      </c>
      <c r="I34" s="196" t="n"/>
      <c r="J34" s="196" t="n"/>
      <c r="K34" s="196" t="n"/>
      <c r="L34" s="196" t="n"/>
      <c r="M34" s="197" t="inlineStr">
        <is>
          <t>Not Tested</t>
        </is>
      </c>
      <c r="N34" s="196" t="n"/>
      <c r="O34" s="193">
        <f>IF(M34="Not Met","Needs compliance",IF(M34="Not Tested","Not yet tested",""))</f>
        <v/>
      </c>
      <c r="P34" s="166" t="n"/>
      <c r="T34" s="124" t="inlineStr">
        <is>
          <t>Sub</t>
        </is>
      </c>
      <c r="U34" s="124">
        <f>IF(M34="Not Met","("&amp;3&amp;") "&amp;IF(H34="Yes","★ ","")&amp;C34,"")</f>
        <v/>
      </c>
    </row>
    <row r="35" ht="56" customHeight="1" s="125">
      <c r="A35" s="193" t="inlineStr">
        <is>
          <t>TEC-09.4</t>
        </is>
      </c>
      <c r="B35" s="194" t="inlineStr">
        <is>
          <t>↳ sub-item</t>
        </is>
      </c>
      <c r="C35" s="193" t="inlineStr">
        <is>
          <t>No privilege escalation — admin functions unreachable by direct URL / API; users cannot change their own role (TD-D21)</t>
        </is>
      </c>
      <c r="D35" s="195" t="inlineStr">
        <is>
          <t>(part of TEC-09)</t>
        </is>
      </c>
      <c r="E35" s="196" t="n"/>
      <c r="F35" s="196" t="n"/>
      <c r="G35" s="196" t="n"/>
      <c r="H35" s="196" t="inlineStr">
        <is>
          <t>Yes</t>
        </is>
      </c>
      <c r="I35" s="196" t="n"/>
      <c r="J35" s="196" t="n"/>
      <c r="K35" s="196" t="n"/>
      <c r="L35" s="196" t="n"/>
      <c r="M35" s="197" t="inlineStr">
        <is>
          <t>Not Tested</t>
        </is>
      </c>
      <c r="N35" s="196" t="n"/>
      <c r="O35" s="193">
        <f>IF(M35="Not Met","Needs compliance",IF(M35="Not Tested","Not yet tested",""))</f>
        <v/>
      </c>
      <c r="P35" s="166" t="n"/>
      <c r="T35" s="124" t="inlineStr">
        <is>
          <t>Sub</t>
        </is>
      </c>
      <c r="U35" s="124">
        <f>IF(M35="Not Met","("&amp;4&amp;") "&amp;IF(H35="Yes","★ ","")&amp;C35,"")</f>
        <v/>
      </c>
    </row>
    <row r="36" ht="42.5" customHeight="1" s="125">
      <c r="A36" s="193" t="inlineStr">
        <is>
          <t>TEC-09.5</t>
        </is>
      </c>
      <c r="B36" s="194" t="inlineStr">
        <is>
          <t>↳ sub-item</t>
        </is>
      </c>
      <c r="C36" s="193" t="inlineStr">
        <is>
          <t>Requests without a valid session / token are refused (HTTP 401 / 403 or redirect to log-in)</t>
        </is>
      </c>
      <c r="D36" s="195" t="inlineStr">
        <is>
          <t>(part of TEC-09)</t>
        </is>
      </c>
      <c r="E36" s="196" t="n"/>
      <c r="F36" s="196" t="n"/>
      <c r="G36" s="196" t="n"/>
      <c r="H36" s="196" t="n"/>
      <c r="I36" s="196" t="n"/>
      <c r="J36" s="196" t="n"/>
      <c r="K36" s="196" t="n"/>
      <c r="L36" s="196" t="n"/>
      <c r="M36" s="197" t="inlineStr">
        <is>
          <t>Not Tested</t>
        </is>
      </c>
      <c r="N36" s="196" t="n"/>
      <c r="O36" s="193">
        <f>IF(M36="Not Met","Needs compliance",IF(M36="Not Tested","Not yet tested",""))</f>
        <v/>
      </c>
      <c r="P36" s="166" t="n"/>
      <c r="T36" s="124" t="inlineStr">
        <is>
          <t>Sub</t>
        </is>
      </c>
      <c r="U36" s="124">
        <f>IF(M36="Not Met","("&amp;5&amp;") "&amp;IF(H36="Yes","★ ","")&amp;C36,"")</f>
        <v/>
      </c>
    </row>
    <row r="37" ht="152.5" customHeight="1" s="125">
      <c r="A37" s="172" t="inlineStr">
        <is>
          <t>TEC-10</t>
        </is>
      </c>
      <c r="B37" s="172" t="inlineStr">
        <is>
          <t>Session lifecycle</t>
        </is>
      </c>
      <c r="C37" s="172" t="inlineStr">
        <is>
          <t>Sessions and accounts end when they should: log-out invalidates the session, expired sessions / tokens are refused, and revoked accounts lose access</t>
        </is>
      </c>
      <c r="D37" s="172" t="inlineStr">
        <is>
          <t xml:space="preserve">Invalidate the session on the server at log-out; refuse expired sessions and tokens; when an administrator deactivates an account, block new log-ins immediately and end its active sessions within the TB-12 limit.
Purpose: Departed staff and stolen sessions cannot keep accessing patient data.
</t>
        </is>
      </c>
      <c r="E37" s="172" t="inlineStr">
        <is>
          <t xml:space="preserve">1. Log in, copy the session (or note the page), log out, then press Back / replay the request: access must be refused.
2. Wait past the idle / token expiry (TB-06 / TB-12) and repeat an action: re-authentication is required.
3. Administrator deactivates a logged-in test user: the user cannot log in again, and the open session ends within the TB-12 limit.
Mark each sub-item (↳) below; Achieved is counted automatically.
</t>
        </is>
      </c>
      <c r="F37" s="172" t="inlineStr">
        <is>
          <t>Screenshots / HTTP responses + time of each step</t>
        </is>
      </c>
      <c r="G37" s="172" t="inlineStr">
        <is>
          <t>Validator + server-side check + Observer</t>
        </is>
      </c>
      <c r="H37" s="188" t="inlineStr">
        <is>
          <t>No</t>
        </is>
      </c>
      <c r="I37" s="172" t="n">
        <v>2</v>
      </c>
      <c r="J37" s="172" t="inlineStr">
        <is>
          <t>Count</t>
        </is>
      </c>
      <c r="K37" s="189">
        <f>COUNTA(A38:A40)-COUNTIF(M38:M40,"N/A")</f>
        <v/>
      </c>
      <c r="L37" s="189">
        <f>COUNTIF(M38:M40,"Met")</f>
        <v/>
      </c>
      <c r="M37" s="190">
        <f>IF(COUNTIF(M38:M40,"N/A")=COUNTA(A38:A40),"N/A",IF(COUNTIF(M38:M40,"Not Tested")&gt;0,"Not Tested","Counted"))</f>
        <v/>
      </c>
      <c r="N37" s="191">
        <f>IF(M37="N/A",IF(H37="Yes",0,""),IF(M37="Not Tested",0,IF(J37="Tier",IF(M37="Fully integrated",1,IF(M37="Standalone - manual encoding",0.5,0)),IF(J37="Binary",IF(M37="Met",1,0),IF(M37="Counted",IF(N(K37)&gt;0,IF(J37="All-or-nothing",IF(N(L37)&gt;=K37,1,0),MIN(N(L37)/K37,1)),0),0)))))</f>
        <v/>
      </c>
      <c r="O37" s="172">
        <f>IF(COUNTIF(M38:M40,"Not Met")&gt;0,COUNTIF(M38:M40,"Not Met")&amp;" of "&amp;K37&amp;" need compliance: "&amp;_xlfn.TEXTJOIN("; ",TRUE(),U38:U40),IF(COUNTIF(M38:M40,"Not Tested")&gt;0,COUNTIF(M38:M40,"Not Tested")&amp;" of "&amp;COUNTA(A38:A40)&amp;" not yet tested",IF(M37="N/A","","All compliant")))</f>
        <v/>
      </c>
      <c r="P37" s="173" t="n"/>
      <c r="Q37" s="175">
        <f>IF(N37="",0,I37)</f>
        <v/>
      </c>
      <c r="R37" s="175">
        <f>IF(N37="",0,I37*N37)</f>
        <v/>
      </c>
      <c r="S37" s="175">
        <f>IF(OR(AND(H37="Yes",M37&lt;&gt;"Not Tested",N37&lt;&gt;"",N37&lt;1),COUNTIFS(H38:H40,"Yes",M38:M40,"Not Met")+COUNTIFS(H38:H40,"Yes",M38:M40,"N/A")&gt;0),1,0)</f>
        <v/>
      </c>
      <c r="T37" s="175" t="inlineStr">
        <is>
          <t>Criterion</t>
        </is>
      </c>
      <c r="U37" s="175" t="n"/>
      <c r="V37" s="175">
        <f>COUNTA(A38:A40)-COUNTIF(M38:M40,"Not Tested")</f>
        <v/>
      </c>
      <c r="W37" s="175">
        <f>IF(AND(T37="Criterion",I37&gt;0,M37&lt;&gt;"Not Tested",N37&lt;&gt;"",OR(N(N37)&lt;1,S37=1)),A37,"")</f>
        <v/>
      </c>
    </row>
    <row r="38" ht="29" customHeight="1" s="125">
      <c r="A38" s="193" t="inlineStr">
        <is>
          <t>TEC-10.1</t>
        </is>
      </c>
      <c r="B38" s="194" t="inlineStr">
        <is>
          <t>↳ sub-item</t>
        </is>
      </c>
      <c r="C38" s="193" t="inlineStr">
        <is>
          <t>Session invalid after log-out (Back / replayed request refused)</t>
        </is>
      </c>
      <c r="D38" s="195" t="inlineStr">
        <is>
          <t>(part of TEC-10)</t>
        </is>
      </c>
      <c r="E38" s="196" t="n"/>
      <c r="F38" s="196" t="n"/>
      <c r="G38" s="196" t="n"/>
      <c r="H38" s="196" t="n"/>
      <c r="I38" s="196" t="n"/>
      <c r="J38" s="196" t="n"/>
      <c r="K38" s="196" t="n"/>
      <c r="L38" s="196" t="n"/>
      <c r="M38" s="197" t="inlineStr">
        <is>
          <t>Not Tested</t>
        </is>
      </c>
      <c r="N38" s="196" t="n"/>
      <c r="O38" s="193">
        <f>IF(M38="Not Met","Needs compliance",IF(M38="Not Tested","Not yet tested",""))</f>
        <v/>
      </c>
      <c r="P38" s="166" t="n"/>
      <c r="T38" s="124" t="inlineStr">
        <is>
          <t>Sub</t>
        </is>
      </c>
      <c r="U38" s="124">
        <f>IF(M38="Not Met","("&amp;1&amp;") "&amp;IF(H38="Yes","★ ","")&amp;C38,"")</f>
        <v/>
      </c>
    </row>
    <row r="39" ht="29" customHeight="1" s="125">
      <c r="A39" s="193" t="inlineStr">
        <is>
          <t>TEC-10.2</t>
        </is>
      </c>
      <c r="B39" s="194" t="inlineStr">
        <is>
          <t>↳ sub-item</t>
        </is>
      </c>
      <c r="C39" s="193" t="inlineStr">
        <is>
          <t>Expired session / token refused; re-authentication required</t>
        </is>
      </c>
      <c r="D39" s="195" t="inlineStr">
        <is>
          <t>(part of TEC-10)</t>
        </is>
      </c>
      <c r="E39" s="196" t="n"/>
      <c r="F39" s="196" t="n"/>
      <c r="G39" s="196" t="n"/>
      <c r="H39" s="196" t="n"/>
      <c r="I39" s="196" t="n"/>
      <c r="J39" s="196" t="n"/>
      <c r="K39" s="196" t="n"/>
      <c r="L39" s="196" t="n"/>
      <c r="M39" s="197" t="inlineStr">
        <is>
          <t>Not Tested</t>
        </is>
      </c>
      <c r="N39" s="196" t="n"/>
      <c r="O39" s="193">
        <f>IF(M39="Not Met","Needs compliance",IF(M39="Not Tested","Not yet tested",""))</f>
        <v/>
      </c>
      <c r="P39" s="166" t="n"/>
      <c r="T39" s="124" t="inlineStr">
        <is>
          <t>Sub</t>
        </is>
      </c>
      <c r="U39" s="124">
        <f>IF(M39="Not Met","("&amp;2&amp;") "&amp;IF(H39="Yes","★ ","")&amp;C39,"")</f>
        <v/>
      </c>
    </row>
    <row r="40" ht="42.5" customHeight="1" s="125">
      <c r="A40" s="193" t="inlineStr">
        <is>
          <t>TEC-10.3</t>
        </is>
      </c>
      <c r="B40" s="194" t="inlineStr">
        <is>
          <t>↳ sub-item</t>
        </is>
      </c>
      <c r="C40" s="193" t="inlineStr">
        <is>
          <t>Deactivated account: new log-in blocked immediately; active session ended within the TB-12 limit</t>
        </is>
      </c>
      <c r="D40" s="195" t="inlineStr">
        <is>
          <t>(part of TEC-10)</t>
        </is>
      </c>
      <c r="E40" s="196" t="n"/>
      <c r="F40" s="196" t="n"/>
      <c r="G40" s="196" t="n"/>
      <c r="H40" s="196" t="n"/>
      <c r="I40" s="196" t="n"/>
      <c r="J40" s="196" t="n"/>
      <c r="K40" s="196" t="n"/>
      <c r="L40" s="196" t="n"/>
      <c r="M40" s="197" t="inlineStr">
        <is>
          <t>Not Tested</t>
        </is>
      </c>
      <c r="N40" s="196" t="n"/>
      <c r="O40" s="193">
        <f>IF(M40="Not Met","Needs compliance",IF(M40="Not Tested","Not yet tested",""))</f>
        <v/>
      </c>
      <c r="P40" s="166" t="n"/>
      <c r="T40" s="124" t="inlineStr">
        <is>
          <t>Sub</t>
        </is>
      </c>
      <c r="U40" s="124">
        <f>IF(M40="Not Met","("&amp;3&amp;") "&amp;IF(H40="Yes","★ ","")&amp;C40,"")</f>
        <v/>
      </c>
    </row>
    <row r="41" ht="152.5" customHeight="1" s="125">
      <c r="A41" s="172" t="inlineStr">
        <is>
          <t>TEC-11</t>
        </is>
      </c>
      <c r="B41" s="172" t="inlineStr">
        <is>
          <t>Information leakage</t>
        </is>
      </c>
      <c r="C41" s="172" t="inlineStr">
        <is>
          <t>Error messages, client-side code and logs do not expose secrets, system internals or patient data beyond what the user may see</t>
        </is>
      </c>
      <c r="D41" s="172" t="inlineStr">
        <is>
          <t xml:space="preserve">Show users generic error messages (no stack traces, SQL, file paths or server versions); keep credentials, tokens and API keys out of browser / mobile code, URLs and browser storage (TB-07); keep full identifiers and clinical content out of application logs except where required by TB-08 audit (TB-13).
Purpose: Error screens and logs are a frequent source of data leaks.
</t>
        </is>
      </c>
      <c r="E41" s="172" t="inlineStr">
        <is>
          <t xml:space="preserve">1. Trigger errors (TD-D03, a non-existent page, a broken request) and read the messages.
2. Open the browser developer tools (or inspect the mobile app traffic) and look for secrets in source, URLs, local / session storage.
3. Review a sample application log from the test session, OR accept a signed attestation with a redacted sample (Instructions 4B).
Mark each sub-item (↳) below; Achieved is counted automatically.
</t>
        </is>
      </c>
      <c r="F41" s="172" t="inlineStr">
        <is>
          <t>Screenshots + log sample or signed attestation</t>
        </is>
      </c>
      <c r="G41" s="172" t="inlineStr">
        <is>
          <t>Validator + server-side check + Observer</t>
        </is>
      </c>
      <c r="H41" s="188" t="inlineStr">
        <is>
          <t>No</t>
        </is>
      </c>
      <c r="I41" s="172" t="n">
        <v>1</v>
      </c>
      <c r="J41" s="172" t="inlineStr">
        <is>
          <t>Count</t>
        </is>
      </c>
      <c r="K41" s="189">
        <f>COUNTA(A42:A44)-COUNTIF(M42:M44,"N/A")</f>
        <v/>
      </c>
      <c r="L41" s="189">
        <f>COUNTIF(M42:M44,"Met")</f>
        <v/>
      </c>
      <c r="M41" s="190">
        <f>IF(COUNTIF(M42:M44,"N/A")=COUNTA(A42:A44),"N/A",IF(COUNTIF(M42:M44,"Not Tested")&gt;0,"Not Tested","Counted"))</f>
        <v/>
      </c>
      <c r="N41" s="191">
        <f>IF(M41="N/A",IF(H41="Yes",0,""),IF(M41="Not Tested",0,IF(J41="Tier",IF(M41="Fully integrated",1,IF(M41="Standalone - manual encoding",0.5,0)),IF(J41="Binary",IF(M41="Met",1,0),IF(M41="Counted",IF(N(K41)&gt;0,IF(J41="All-or-nothing",IF(N(L41)&gt;=K41,1,0),MIN(N(L41)/K41,1)),0),0)))))</f>
        <v/>
      </c>
      <c r="O41" s="172">
        <f>IF(COUNTIF(M42:M44,"Not Met")&gt;0,COUNTIF(M42:M44,"Not Met")&amp;" of "&amp;K41&amp;" need compliance: "&amp;_xlfn.TEXTJOIN("; ",TRUE(),U42:U44),IF(COUNTIF(M42:M44,"Not Tested")&gt;0,COUNTIF(M42:M44,"Not Tested")&amp;" of "&amp;COUNTA(A42:A44)&amp;" not yet tested",IF(M41="N/A","","All compliant")))</f>
        <v/>
      </c>
      <c r="P41" s="173" t="n"/>
      <c r="Q41" s="175">
        <f>IF(N41="",0,I41)</f>
        <v/>
      </c>
      <c r="R41" s="175">
        <f>IF(N41="",0,I41*N41)</f>
        <v/>
      </c>
      <c r="S41" s="175">
        <f>IF(OR(AND(H41="Yes",M41&lt;&gt;"Not Tested",N41&lt;&gt;"",N41&lt;1),COUNTIFS(H42:H44,"Yes",M42:M44,"Not Met")+COUNTIFS(H42:H44,"Yes",M42:M44,"N/A")&gt;0),1,0)</f>
        <v/>
      </c>
      <c r="T41" s="175" t="inlineStr">
        <is>
          <t>Criterion</t>
        </is>
      </c>
      <c r="U41" s="175" t="n"/>
      <c r="V41" s="175">
        <f>COUNTA(A42:A44)-COUNTIF(M42:M44,"Not Tested")</f>
        <v/>
      </c>
      <c r="W41" s="175">
        <f>IF(AND(T41="Criterion",I41&gt;0,M41&lt;&gt;"Not Tested",N41&lt;&gt;"",OR(N(N41)&lt;1,S41=1)),A41,"")</f>
        <v/>
      </c>
    </row>
    <row r="42" ht="42.5" customHeight="1" s="125">
      <c r="A42" s="193" t="inlineStr">
        <is>
          <t>TEC-11.1</t>
        </is>
      </c>
      <c r="B42" s="194" t="inlineStr">
        <is>
          <t>↳ sub-item</t>
        </is>
      </c>
      <c r="C42" s="193" t="inlineStr">
        <is>
          <t>Error messages show no stack trace, SQL, paths, versions or unauthorised patient data</t>
        </is>
      </c>
      <c r="D42" s="195" t="inlineStr">
        <is>
          <t>(part of TEC-11)</t>
        </is>
      </c>
      <c r="E42" s="196" t="n"/>
      <c r="F42" s="196" t="n"/>
      <c r="G42" s="196" t="n"/>
      <c r="H42" s="196" t="n"/>
      <c r="I42" s="196" t="n"/>
      <c r="J42" s="196" t="n"/>
      <c r="K42" s="196" t="n"/>
      <c r="L42" s="196" t="n"/>
      <c r="M42" s="197" t="inlineStr">
        <is>
          <t>Not Tested</t>
        </is>
      </c>
      <c r="N42" s="196" t="n"/>
      <c r="O42" s="193">
        <f>IF(M42="Not Met","Needs compliance",IF(M42="Not Tested","Not yet tested",""))</f>
        <v/>
      </c>
      <c r="P42" s="166" t="n"/>
      <c r="T42" s="124" t="inlineStr">
        <is>
          <t>Sub</t>
        </is>
      </c>
      <c r="U42" s="124">
        <f>IF(M42="Not Met","("&amp;1&amp;") "&amp;IF(H42="Yes","★ ","")&amp;C42,"")</f>
        <v/>
      </c>
    </row>
    <row r="43" ht="29" customHeight="1" s="125">
      <c r="A43" s="193" t="inlineStr">
        <is>
          <t>TEC-11.2</t>
        </is>
      </c>
      <c r="B43" s="194" t="inlineStr">
        <is>
          <t>↳ sub-item</t>
        </is>
      </c>
      <c r="C43" s="193" t="inlineStr">
        <is>
          <t>No credentials / tokens / API keys in client code, URLs or browser storage</t>
        </is>
      </c>
      <c r="D43" s="195" t="inlineStr">
        <is>
          <t>(part of TEC-11)</t>
        </is>
      </c>
      <c r="E43" s="196" t="n"/>
      <c r="F43" s="196" t="n"/>
      <c r="G43" s="196" t="n"/>
      <c r="H43" s="196" t="n"/>
      <c r="I43" s="196" t="n"/>
      <c r="J43" s="196" t="n"/>
      <c r="K43" s="196" t="n"/>
      <c r="L43" s="196" t="n"/>
      <c r="M43" s="197" t="inlineStr">
        <is>
          <t>Not Tested</t>
        </is>
      </c>
      <c r="N43" s="196" t="n"/>
      <c r="O43" s="193">
        <f>IF(M43="Not Met","Needs compliance",IF(M43="Not Tested","Not yet tested",""))</f>
        <v/>
      </c>
      <c r="P43" s="166" t="n"/>
      <c r="T43" s="124" t="inlineStr">
        <is>
          <t>Sub</t>
        </is>
      </c>
      <c r="U43" s="124">
        <f>IF(M43="Not Met","("&amp;2&amp;") "&amp;IF(H43="Yes","★ ","")&amp;C43,"")</f>
        <v/>
      </c>
    </row>
    <row r="44" ht="29" customHeight="1" s="125">
      <c r="A44" s="193" t="inlineStr">
        <is>
          <t>TEC-11.3</t>
        </is>
      </c>
      <c r="B44" s="194" t="inlineStr">
        <is>
          <t>↳ sub-item</t>
        </is>
      </c>
      <c r="C44" s="193" t="inlineStr">
        <is>
          <t>Application logs exclude secrets and unnecessary personal data (TB-13)</t>
        </is>
      </c>
      <c r="D44" s="195" t="inlineStr">
        <is>
          <t>(part of TEC-11)</t>
        </is>
      </c>
      <c r="E44" s="196" t="n"/>
      <c r="F44" s="196" t="n"/>
      <c r="G44" s="196" t="n"/>
      <c r="H44" s="196" t="n"/>
      <c r="I44" s="196" t="n"/>
      <c r="J44" s="196" t="n"/>
      <c r="K44" s="196" t="n"/>
      <c r="L44" s="196" t="n"/>
      <c r="M44" s="197" t="inlineStr">
        <is>
          <t>Not Tested</t>
        </is>
      </c>
      <c r="N44" s="196" t="n"/>
      <c r="O44" s="193">
        <f>IF(M44="Not Met","Needs compliance",IF(M44="Not Tested","Not yet tested",""))</f>
        <v/>
      </c>
      <c r="P44" s="166" t="n"/>
      <c r="T44" s="124" t="inlineStr">
        <is>
          <t>Sub</t>
        </is>
      </c>
      <c r="U44" s="124">
        <f>IF(M44="Not Met","("&amp;3&amp;") "&amp;IF(H44="Yes","★ ","")&amp;C44,"")</f>
        <v/>
      </c>
    </row>
    <row r="45" ht="152.5" customHeight="1" s="125">
      <c r="A45" s="172" t="inlineStr">
        <is>
          <t>TEC-12</t>
        </is>
      </c>
      <c r="B45" s="172" t="inlineStr">
        <is>
          <t>Audit integrity</t>
        </is>
      </c>
      <c r="C45" s="172" t="inlineStr">
        <is>
          <t>The audit log cannot be altered through the application and records security events</t>
        </is>
      </c>
      <c r="D45" s="172" t="inlineStr">
        <is>
          <t xml:space="preserve">Make audit entries append-only for every application role, including administrators; log failed log-ins, role / permission changes and account deactivation; restrict viewing / export of the audit log to an authorised role (TB-08).
Purpose: An audit trail that can be edited proves nothing.
</t>
        </is>
      </c>
      <c r="E45" s="172" t="inlineStr">
        <is>
          <t xml:space="preserve">1. As an ordinary user and as an administrator, try to edit or delete an audit entry through the application.
2. Check that the failed log-ins (TEC-09.1), the role change attempt (TEC-09.4) and the deactivation (TEC-10.3) appear in the log.
3. Try to open the audit log with a non-authorised role.
Mark each sub-item (↳) below; Achieved is counted automatically.
</t>
        </is>
      </c>
      <c r="F45" s="172" t="inlineStr">
        <is>
          <t>Audit log extract + screenshots</t>
        </is>
      </c>
      <c r="G45" s="172" t="inlineStr">
        <is>
          <t>Validator + server-side check + Observer</t>
        </is>
      </c>
      <c r="H45" s="188" t="inlineStr">
        <is>
          <t>No</t>
        </is>
      </c>
      <c r="I45" s="172" t="n">
        <v>2</v>
      </c>
      <c r="J45" s="172" t="inlineStr">
        <is>
          <t>Count</t>
        </is>
      </c>
      <c r="K45" s="189">
        <f>COUNTA(A46:A49)-COUNTIF(M46:M49,"N/A")</f>
        <v/>
      </c>
      <c r="L45" s="189">
        <f>COUNTIF(M46:M49,"Met")</f>
        <v/>
      </c>
      <c r="M45" s="190">
        <f>IF(COUNTIF(M46:M49,"N/A")=COUNTA(A46:A49),"N/A",IF(COUNTIF(M46:M49,"Not Tested")&gt;0,"Not Tested","Counted"))</f>
        <v/>
      </c>
      <c r="N45" s="191">
        <f>IF(M45="N/A",IF(H45="Yes",0,""),IF(M45="Not Tested",0,IF(J45="Tier",IF(M45="Fully integrated",1,IF(M45="Standalone - manual encoding",0.5,0)),IF(J45="Binary",IF(M45="Met",1,0),IF(M45="Counted",IF(N(K45)&gt;0,IF(J45="All-or-nothing",IF(N(L45)&gt;=K45,1,0),MIN(N(L45)/K45,1)),0),0)))))</f>
        <v/>
      </c>
      <c r="O45" s="172">
        <f>IF(COUNTIF(M46:M49,"Not Met")&gt;0,COUNTIF(M46:M49,"Not Met")&amp;" of "&amp;K45&amp;" need compliance: "&amp;_xlfn.TEXTJOIN("; ",TRUE(),U46:U49),IF(COUNTIF(M46:M49,"Not Tested")&gt;0,COUNTIF(M46:M49,"Not Tested")&amp;" of "&amp;COUNTA(A46:A49)&amp;" not yet tested",IF(M45="N/A","","All compliant")))</f>
        <v/>
      </c>
      <c r="P45" s="173" t="n"/>
      <c r="Q45" s="175">
        <f>IF(N45="",0,I45)</f>
        <v/>
      </c>
      <c r="R45" s="175">
        <f>IF(N45="",0,I45*N45)</f>
        <v/>
      </c>
      <c r="S45" s="175">
        <f>IF(OR(AND(H45="Yes",M45&lt;&gt;"Not Tested",N45&lt;&gt;"",N45&lt;1),COUNTIFS(H46:H49,"Yes",M46:M49,"Not Met")+COUNTIFS(H46:H49,"Yes",M46:M49,"N/A")&gt;0),1,0)</f>
        <v/>
      </c>
      <c r="T45" s="175" t="inlineStr">
        <is>
          <t>Criterion</t>
        </is>
      </c>
      <c r="U45" s="175" t="n"/>
      <c r="V45" s="175">
        <f>COUNTA(A46:A49)-COUNTIF(M46:M49,"Not Tested")</f>
        <v/>
      </c>
      <c r="W45" s="175">
        <f>IF(AND(T45="Criterion",I45&gt;0,M45&lt;&gt;"Not Tested",N45&lt;&gt;"",OR(N(N45)&lt;1,S45=1)),A45,"")</f>
        <v/>
      </c>
    </row>
    <row r="46" ht="29" customHeight="1" s="125">
      <c r="A46" s="193" t="inlineStr">
        <is>
          <t>TEC-12.1</t>
        </is>
      </c>
      <c r="B46" s="194" t="inlineStr">
        <is>
          <t>↳ sub-item</t>
        </is>
      </c>
      <c r="C46" s="193" t="inlineStr">
        <is>
          <t>Audit entries cannot be edited or deleted through the application (any role)</t>
        </is>
      </c>
      <c r="D46" s="195" t="inlineStr">
        <is>
          <t>(part of TEC-12)</t>
        </is>
      </c>
      <c r="E46" s="196" t="n"/>
      <c r="F46" s="196" t="n"/>
      <c r="G46" s="196" t="n"/>
      <c r="H46" s="196" t="n"/>
      <c r="I46" s="196" t="n"/>
      <c r="J46" s="196" t="n"/>
      <c r="K46" s="196" t="n"/>
      <c r="L46" s="196" t="n"/>
      <c r="M46" s="197" t="inlineStr">
        <is>
          <t>Not Tested</t>
        </is>
      </c>
      <c r="N46" s="196" t="n"/>
      <c r="O46" s="193">
        <f>IF(M46="Not Met","Needs compliance",IF(M46="Not Tested","Not yet tested",""))</f>
        <v/>
      </c>
      <c r="P46" s="166" t="n"/>
      <c r="T46" s="124" t="inlineStr">
        <is>
          <t>Sub</t>
        </is>
      </c>
      <c r="U46" s="124">
        <f>IF(M46="Not Met","("&amp;1&amp;") "&amp;IF(H46="Yes","★ ","")&amp;C46,"")</f>
        <v/>
      </c>
    </row>
    <row r="47" ht="15.5" customHeight="1" s="125">
      <c r="A47" s="193" t="inlineStr">
        <is>
          <t>TEC-12.2</t>
        </is>
      </c>
      <c r="B47" s="194" t="inlineStr">
        <is>
          <t>↳ sub-item</t>
        </is>
      </c>
      <c r="C47" s="193" t="inlineStr">
        <is>
          <t>Failed log-in attempts are logged</t>
        </is>
      </c>
      <c r="D47" s="195" t="inlineStr">
        <is>
          <t>(part of TEC-12)</t>
        </is>
      </c>
      <c r="E47" s="196" t="n"/>
      <c r="F47" s="196" t="n"/>
      <c r="G47" s="196" t="n"/>
      <c r="H47" s="196" t="n"/>
      <c r="I47" s="196" t="n"/>
      <c r="J47" s="196" t="n"/>
      <c r="K47" s="196" t="n"/>
      <c r="L47" s="196" t="n"/>
      <c r="M47" s="197" t="inlineStr">
        <is>
          <t>Not Tested</t>
        </is>
      </c>
      <c r="N47" s="196" t="n"/>
      <c r="O47" s="193">
        <f>IF(M47="Not Met","Needs compliance",IF(M47="Not Tested","Not yet tested",""))</f>
        <v/>
      </c>
      <c r="P47" s="166" t="n"/>
      <c r="T47" s="124" t="inlineStr">
        <is>
          <t>Sub</t>
        </is>
      </c>
      <c r="U47" s="124">
        <f>IF(M47="Not Met","("&amp;2&amp;") "&amp;IF(H47="Yes","★ ","")&amp;C47,"")</f>
        <v/>
      </c>
    </row>
    <row r="48" ht="29" customHeight="1" s="125">
      <c r="A48" s="193" t="inlineStr">
        <is>
          <t>TEC-12.3</t>
        </is>
      </c>
      <c r="B48" s="194" t="inlineStr">
        <is>
          <t>↳ sub-item</t>
        </is>
      </c>
      <c r="C48" s="193" t="inlineStr">
        <is>
          <t>Role / permission changes and account deactivation are logged</t>
        </is>
      </c>
      <c r="D48" s="195" t="inlineStr">
        <is>
          <t>(part of TEC-12)</t>
        </is>
      </c>
      <c r="E48" s="196" t="n"/>
      <c r="F48" s="196" t="n"/>
      <c r="G48" s="196" t="n"/>
      <c r="H48" s="196" t="n"/>
      <c r="I48" s="196" t="n"/>
      <c r="J48" s="196" t="n"/>
      <c r="K48" s="196" t="n"/>
      <c r="L48" s="196" t="n"/>
      <c r="M48" s="197" t="inlineStr">
        <is>
          <t>Not Tested</t>
        </is>
      </c>
      <c r="N48" s="196" t="n"/>
      <c r="O48" s="193">
        <f>IF(M48="Not Met","Needs compliance",IF(M48="Not Tested","Not yet tested",""))</f>
        <v/>
      </c>
      <c r="P48" s="166" t="n"/>
      <c r="T48" s="124" t="inlineStr">
        <is>
          <t>Sub</t>
        </is>
      </c>
      <c r="U48" s="124">
        <f>IF(M48="Not Met","("&amp;3&amp;") "&amp;IF(H48="Yes","★ ","")&amp;C48,"")</f>
        <v/>
      </c>
    </row>
    <row r="49" ht="29" customHeight="1" s="125">
      <c r="A49" s="193" t="inlineStr">
        <is>
          <t>TEC-12.4</t>
        </is>
      </c>
      <c r="B49" s="194" t="inlineStr">
        <is>
          <t>↳ sub-item</t>
        </is>
      </c>
      <c r="C49" s="193" t="inlineStr">
        <is>
          <t>Audit log viewing / export restricted to an authorised role</t>
        </is>
      </c>
      <c r="D49" s="195" t="inlineStr">
        <is>
          <t>(part of TEC-12)</t>
        </is>
      </c>
      <c r="E49" s="196" t="n"/>
      <c r="F49" s="196" t="n"/>
      <c r="G49" s="196" t="n"/>
      <c r="H49" s="196" t="n"/>
      <c r="I49" s="196" t="n"/>
      <c r="J49" s="196" t="n"/>
      <c r="K49" s="196" t="n"/>
      <c r="L49" s="196" t="n"/>
      <c r="M49" s="197" t="inlineStr">
        <is>
          <t>Not Tested</t>
        </is>
      </c>
      <c r="N49" s="196" t="n"/>
      <c r="O49" s="193">
        <f>IF(M49="Not Met","Needs compliance",IF(M49="Not Tested","Not yet tested",""))</f>
        <v/>
      </c>
      <c r="P49" s="166" t="n"/>
      <c r="T49" s="124" t="inlineStr">
        <is>
          <t>Sub</t>
        </is>
      </c>
      <c r="U49" s="124">
        <f>IF(M49="Not Met","("&amp;4&amp;") "&amp;IF(H49="Yes","★ ","")&amp;C49,"")</f>
        <v/>
      </c>
    </row>
    <row r="50" ht="166" customHeight="1" s="125">
      <c r="A50" s="172" t="inlineStr">
        <is>
          <t>TEC-13</t>
        </is>
      </c>
      <c r="B50" s="172" t="inlineStr">
        <is>
          <t>Interface protection</t>
        </is>
      </c>
      <c r="C50" s="172" t="inlineStr">
        <is>
          <t>Outgoing connections verify server certificates, and any API the EMR exposes is protected against abuse</t>
        </is>
      </c>
      <c r="D50" s="172" t="inlineStr">
        <is>
          <t xml:space="preserve">Validate the certificate of the SHR / terminology server on every connection (no 'trust all certificates' setting). If the EMR exposes its own API to the internet, apply rate limiting or equivalent abuse controls.
Purpose: Prevents interception (man-in-the-middle) and denial-of-service by request flooding.
</t>
        </is>
      </c>
      <c r="E50" s="172" t="inlineStr">
        <is>
          <t xml:space="preserve">1. TD-D22: the DOH provides a sandbox endpoint with an invalid / expired / untrusted certificate; point the EMR to it. Met if the EMR refuses to connect (N/A with reason if the DOH has not provisioned the endpoint).
2. If the EMR exposes an internet-facing API: send repeated requests (within the agreed test limit) and confirm throttling or a documented control. N/A if no API is exposed.
Mark each sub-item (↳) below; Achieved is counted automatically.
</t>
        </is>
      </c>
      <c r="F50" s="172" t="inlineStr">
        <is>
          <t>Connection error screenshot / log + throttling response or documented control</t>
        </is>
      </c>
      <c r="G50" s="172" t="inlineStr">
        <is>
          <t>Validator + server-side check + Observer</t>
        </is>
      </c>
      <c r="H50" s="188" t="inlineStr">
        <is>
          <t>No</t>
        </is>
      </c>
      <c r="I50" s="172" t="n">
        <v>1</v>
      </c>
      <c r="J50" s="172" t="inlineStr">
        <is>
          <t>Count</t>
        </is>
      </c>
      <c r="K50" s="189">
        <f>COUNTA(A51:A52)-COUNTIF(M51:M52,"N/A")</f>
        <v/>
      </c>
      <c r="L50" s="189">
        <f>COUNTIF(M51:M52,"Met")</f>
        <v/>
      </c>
      <c r="M50" s="190">
        <f>IF(COUNTIF(M51:M52,"N/A")=COUNTA(A51:A52),"N/A",IF(COUNTIF(M51:M52,"Not Tested")&gt;0,"Not Tested","Counted"))</f>
        <v/>
      </c>
      <c r="N50" s="191">
        <f>IF(M50="N/A",IF(H50="Yes",0,""),IF(M50="Not Tested",0,IF(J50="Tier",IF(M50="Fully integrated",1,IF(M50="Standalone - manual encoding",0.5,0)),IF(J50="Binary",IF(M50="Met",1,0),IF(M50="Counted",IF(N(K50)&gt;0,IF(J50="All-or-nothing",IF(N(L50)&gt;=K50,1,0),MIN(N(L50)/K50,1)),0),0)))))</f>
        <v/>
      </c>
      <c r="O50" s="172">
        <f>IF(COUNTIF(M51:M52,"Not Met")&gt;0,COUNTIF(M51:M52,"Not Met")&amp;" of "&amp;K50&amp;" need compliance: "&amp;_xlfn.TEXTJOIN("; ",TRUE(),U51:U52),IF(COUNTIF(M51:M52,"Not Tested")&gt;0,COUNTIF(M51:M52,"Not Tested")&amp;" of "&amp;COUNTA(A51:A52)&amp;" not yet tested",IF(M50="N/A","","All compliant")))</f>
        <v/>
      </c>
      <c r="P50" s="173" t="n"/>
      <c r="Q50" s="175">
        <f>IF(N50="",0,I50)</f>
        <v/>
      </c>
      <c r="R50" s="175">
        <f>IF(N50="",0,I50*N50)</f>
        <v/>
      </c>
      <c r="S50" s="175">
        <f>IF(OR(AND(H50="Yes",M50&lt;&gt;"Not Tested",N50&lt;&gt;"",N50&lt;1),COUNTIFS(H51:H52,"Yes",M51:M52,"Not Met")+COUNTIFS(H51:H52,"Yes",M51:M52,"N/A")&gt;0),1,0)</f>
        <v/>
      </c>
      <c r="T50" s="175" t="inlineStr">
        <is>
          <t>Criterion</t>
        </is>
      </c>
      <c r="U50" s="175" t="n"/>
      <c r="V50" s="175">
        <f>COUNTA(A51:A52)-COUNTIF(M51:M52,"Not Tested")</f>
        <v/>
      </c>
      <c r="W50" s="175">
        <f>IF(AND(T50="Criterion",I50&gt;0,M50&lt;&gt;"Not Tested",N50&lt;&gt;"",OR(N(N50)&lt;1,S50=1)),A50,"")</f>
        <v/>
      </c>
    </row>
    <row r="51" ht="42.5" customHeight="1" s="125">
      <c r="A51" s="193" t="inlineStr">
        <is>
          <t>TEC-13.1</t>
        </is>
      </c>
      <c r="B51" s="194" t="inlineStr">
        <is>
          <t>↳ sub-item</t>
        </is>
      </c>
      <c r="C51" s="193" t="inlineStr">
        <is>
          <t>Connection refused to an endpoint with an invalid / untrusted certificate (TD-D22)</t>
        </is>
      </c>
      <c r="D51" s="195" t="inlineStr">
        <is>
          <t>(part of TEC-13)</t>
        </is>
      </c>
      <c r="E51" s="196" t="n"/>
      <c r="F51" s="196" t="n"/>
      <c r="G51" s="196" t="n"/>
      <c r="H51" s="196" t="n"/>
      <c r="I51" s="196" t="n"/>
      <c r="J51" s="196" t="n"/>
      <c r="K51" s="196" t="n"/>
      <c r="L51" s="196" t="n"/>
      <c r="M51" s="197" t="inlineStr">
        <is>
          <t>Not Tested</t>
        </is>
      </c>
      <c r="N51" s="196" t="n"/>
      <c r="O51" s="193">
        <f>IF(M51="Not Met","Needs compliance",IF(M51="Not Tested","Not yet tested",""))</f>
        <v/>
      </c>
      <c r="P51" s="166" t="n"/>
      <c r="T51" s="124" t="inlineStr">
        <is>
          <t>Sub</t>
        </is>
      </c>
      <c r="U51" s="124">
        <f>IF(M51="Not Met","("&amp;1&amp;") "&amp;IF(H51="Yes","★ ","")&amp;C51,"")</f>
        <v/>
      </c>
    </row>
    <row r="52" ht="42.5" customHeight="1" s="125">
      <c r="A52" s="193" t="inlineStr">
        <is>
          <t>TEC-13.2</t>
        </is>
      </c>
      <c r="B52" s="194" t="inlineStr">
        <is>
          <t>↳ sub-item</t>
        </is>
      </c>
      <c r="C52" s="193" t="inlineStr">
        <is>
          <t>Rate limiting / abuse control on any internet-facing API exposed by the EMR (N/A if none)</t>
        </is>
      </c>
      <c r="D52" s="195" t="inlineStr">
        <is>
          <t>(part of TEC-13)</t>
        </is>
      </c>
      <c r="E52" s="196" t="n"/>
      <c r="F52" s="196" t="n"/>
      <c r="G52" s="196" t="n"/>
      <c r="H52" s="196" t="n"/>
      <c r="I52" s="196" t="n"/>
      <c r="J52" s="196" t="n"/>
      <c r="K52" s="196" t="n"/>
      <c r="L52" s="196" t="n"/>
      <c r="M52" s="197" t="inlineStr">
        <is>
          <t>Not Tested</t>
        </is>
      </c>
      <c r="N52" s="196" t="n"/>
      <c r="O52" s="193">
        <f>IF(M52="Not Met","Needs compliance",IF(M52="Not Tested","Not yet tested",""))</f>
        <v/>
      </c>
      <c r="P52" s="166" t="n"/>
      <c r="T52" s="124" t="inlineStr">
        <is>
          <t>Sub</t>
        </is>
      </c>
      <c r="U52" s="124">
        <f>IF(M52="Not Met","("&amp;2&amp;") "&amp;IF(H52="Yes","★ ","")&amp;C52,"")</f>
        <v/>
      </c>
    </row>
    <row r="53" ht="206.5" customHeight="1" s="125">
      <c r="A53" s="172" t="inlineStr">
        <is>
          <t>TEC-14</t>
        </is>
      </c>
      <c r="B53" s="172" t="inlineStr">
        <is>
          <t>Vulnerability assessment</t>
        </is>
      </c>
      <c r="C53" s="172" t="inlineStr">
        <is>
          <t>An independent vulnerability assessment (VAPT or authenticated scan) of the version under test exists, with no unresolved critical / high findings</t>
        </is>
      </c>
      <c r="D53" s="172" t="inlineStr">
        <is>
          <t xml:space="preserve">Provide evidence of a vulnerability assessment and penetration test or an authenticated vulnerability scan of the version under test (or the same major version) done within the last 12 months by an independent party or a separate security team (TB-14), with critical / high findings fixed or covered by a remediation plan accepted by the Technical Lead. Evidence options per Instructions 4B (e.g., executive summary + signed attestation).
Purpose: Black-box conformance testing cannot replace a security assessment; this checks one was done.
</t>
        </is>
      </c>
      <c r="E53" s="172" t="inlineStr">
        <is>
          <t>Check the date, scope (product + version), assessor independence and the status of critical / high findings. Met only if all four are acceptable. This criterion does NOT make this validation a security assessment (see disclaimer above).</t>
        </is>
      </c>
      <c r="F53" s="172" t="inlineStr">
        <is>
          <t>VAPT / scan executive summary + signed attestation (or full report, view-only)</t>
        </is>
      </c>
      <c r="G53" s="172" t="inlineStr">
        <is>
          <t>Validator + Technical Lead</t>
        </is>
      </c>
      <c r="H53" s="188" t="inlineStr">
        <is>
          <t>No</t>
        </is>
      </c>
      <c r="I53" s="172" t="n">
        <v>1</v>
      </c>
      <c r="J53" s="172" t="inlineStr">
        <is>
          <t>Binary</t>
        </is>
      </c>
      <c r="K53" s="189" t="n"/>
      <c r="L53" s="189" t="n"/>
      <c r="M53" s="190" t="inlineStr">
        <is>
          <t>Not Tested</t>
        </is>
      </c>
      <c r="N53" s="191">
        <f>IF(M53="N/A",IF(H53="Yes",0,""),IF(M53="Not Tested",0,IF(J53="Tier",IF(M53="Fully integrated",1,IF(M53="Standalone - manual encoding",0.5,0)),IF(J53="Binary",IF(M53="Met",1,0),IF(M53="Counted",IF(N(K53)&gt;0,IF(J53="All-or-nothing",IF(N(L53)&gt;=K53,1,0),MIN(N(L53)/K53,1)),0),0)))))</f>
        <v/>
      </c>
      <c r="O53" s="172">
        <f>IF(M53="Not Met","Needs compliance",IF(M53="Not Tested","Not yet tested",""))</f>
        <v/>
      </c>
      <c r="P53" s="173" t="n"/>
      <c r="Q53" s="175">
        <f>IF(N53="",0,I53)</f>
        <v/>
      </c>
      <c r="R53" s="175">
        <f>IF(N53="",0,I53*N53)</f>
        <v/>
      </c>
      <c r="S53" s="175">
        <f>IF(AND(H53="Yes",M53&lt;&gt;"Not Tested",N53&lt;&gt;"",N53&lt;1),1,0)</f>
        <v/>
      </c>
      <c r="T53" s="175" t="inlineStr">
        <is>
          <t>Criterion</t>
        </is>
      </c>
      <c r="U53" s="175" t="n"/>
      <c r="V53" s="175" t="n"/>
      <c r="W53" s="175">
        <f>IF(AND(T53="Criterion",I53&gt;0,M53&lt;&gt;"Not Tested",N53&lt;&gt;"",OR(N(N53)&lt;1,S53=1)),A53,"")</f>
        <v/>
      </c>
    </row>
    <row r="54" ht="247" customHeight="1" s="125">
      <c r="A54" s="172" t="inlineStr">
        <is>
          <t>TS3-01</t>
        </is>
      </c>
      <c r="B54" s="172" t="inlineStr">
        <is>
          <t>Exception · Mandatory element</t>
        </is>
      </c>
      <c r="C54" s="172" t="inlineStr">
        <is>
          <t>A referral missing an element the IG makes mandatory is not shown as sent, the reason is shown to the user, and the corrected referral is accepted</t>
        </is>
      </c>
      <c r="D54" s="172" t="inlineStr">
        <is>
          <t xml:space="preserve">Prevent sending, OR handle the SHR rejection (HTTP 4xx with OperationOutcome) of a referral that lacks an element with minimum cardinality ≥ 1 in the PHeReF / PH Core profiles (see FHIR Traceability (Reference Guide, Ch. 5), column 'Cardinality'). Show the user which item is missing, keep the referral as not sent, and allow correction and resend.
Purpose: A referral that the SHR refused must never look 'sent' to the referring clinician.
</t>
        </is>
      </c>
      <c r="E54" s="172" t="inlineStr">
        <is>
          <t xml:space="preserve">1. Use TD-D01 (patient birth date left blank) and TD-D02 (receiving facility not selected).
2. For each sub-item: try to submit. Met if EITHER the EMR blocks it before sending with a clear message, OR the SHR rejects it and the EMR shows the rejection in understandable terms and keeps the referral as NOT sent.
3. Correct the value and resend; confirm on the SHR that exactly one accepted referral exists.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4" s="172" t="inlineStr">
        <is>
          <t>Screenshot of the block / error + server-side evidence of the rejected and the accepted submission</t>
        </is>
      </c>
      <c r="G54" s="172" t="inlineStr">
        <is>
          <t>Validator + server-side check + Observer</t>
        </is>
      </c>
      <c r="H54" s="188" t="inlineStr">
        <is>
          <t>Yes</t>
        </is>
      </c>
      <c r="I54" s="172" t="n">
        <v>2</v>
      </c>
      <c r="J54" s="172" t="inlineStr">
        <is>
          <t>Count</t>
        </is>
      </c>
      <c r="K54" s="189">
        <f>COUNTA(A55:A57)-COUNTIF(M55:M57,"N/A")</f>
        <v/>
      </c>
      <c r="L54" s="189">
        <f>COUNTIF(M55:M57,"Met")</f>
        <v/>
      </c>
      <c r="M54" s="190">
        <f>IF(COUNTIF(M55:M57,"N/A")=COUNTA(A55:A57),"N/A",IF(COUNTIF(M55:M57,"Not Tested")&gt;0,"Not Tested","Counted"))</f>
        <v/>
      </c>
      <c r="N54" s="191">
        <f>IF(M54="N/A",IF(H54="Yes",0,""),IF(M54="Not Tested",0,IF(J54="Tier",IF(M54="Fully integrated",1,IF(M54="Standalone - manual encoding",0.5,0)),IF(J54="Binary",IF(M54="Met",1,0),IF(M54="Counted",IF(N(K54)&gt;0,IF(J54="All-or-nothing",IF(N(L54)&gt;=K54,1,0),MIN(N(L54)/K54,1)),0),0)))))</f>
        <v/>
      </c>
      <c r="O54" s="172">
        <f>IF(COUNTIF(M55:M57,"Not Met")&gt;0,COUNTIF(M55:M57,"Not Met")&amp;" of "&amp;K54&amp;" need compliance: "&amp;_xlfn.TEXTJOIN("; ",TRUE(),U55:U57),IF(COUNTIF(M55:M57,"Not Tested")&gt;0,COUNTIF(M55:M57,"Not Tested")&amp;" of "&amp;COUNTA(A55:A57)&amp;" not yet tested",IF(M54="N/A","","All compliant")))</f>
        <v/>
      </c>
      <c r="P54" s="173" t="n"/>
      <c r="Q54" s="175">
        <f>IF(N54="",0,I54)</f>
        <v/>
      </c>
      <c r="R54" s="175">
        <f>IF(N54="",0,I54*N54)</f>
        <v/>
      </c>
      <c r="S54" s="175">
        <f>IF(OR(AND(H54="Yes",M54&lt;&gt;"Not Tested",N54&lt;&gt;"",N54&lt;1),COUNTIFS(H55:H57,"Yes",M55:M57,"Not Met")+COUNTIFS(H55:H57,"Yes",M55:M57,"N/A")&gt;0),1,0)</f>
        <v/>
      </c>
      <c r="T54" s="175" t="inlineStr">
        <is>
          <t>Criterion</t>
        </is>
      </c>
      <c r="U54" s="175" t="n"/>
      <c r="V54" s="175">
        <f>COUNTA(A55:A57)-COUNTIF(M55:M57,"Not Tested")</f>
        <v/>
      </c>
      <c r="W54" s="175">
        <f>IF(AND(T54="Criterion",I54&gt;0,M54&lt;&gt;"Not Tested",N54&lt;&gt;"",OR(N(N54)&lt;1,S54=1)),A54,"")</f>
        <v/>
      </c>
    </row>
    <row r="55" ht="42.5" customHeight="1" s="125">
      <c r="A55" s="193" t="inlineStr">
        <is>
          <t>TS3-01.1</t>
        </is>
      </c>
      <c r="B55" s="194" t="inlineStr">
        <is>
          <t>↳ sub-item</t>
        </is>
      </c>
      <c r="C55" s="193" t="inlineStr">
        <is>
          <t>Missing Patient.birthDate (1..1) — blocked or rejection shown; referral not marked sent (TD-D01)</t>
        </is>
      </c>
      <c r="D55" s="195" t="inlineStr">
        <is>
          <t>(part of TS3-01)</t>
        </is>
      </c>
      <c r="E55" s="196" t="n"/>
      <c r="F55" s="196" t="n"/>
      <c r="G55" s="196" t="n"/>
      <c r="H55" s="196" t="inlineStr">
        <is>
          <t>Yes</t>
        </is>
      </c>
      <c r="I55" s="196" t="n"/>
      <c r="J55" s="196" t="n"/>
      <c r="K55" s="196" t="n"/>
      <c r="L55" s="196" t="n"/>
      <c r="M55" s="197" t="inlineStr">
        <is>
          <t>Not Tested</t>
        </is>
      </c>
      <c r="N55" s="196" t="n"/>
      <c r="O55" s="193">
        <f>IF(M55="Not Met","Needs compliance",IF(M55="Not Tested","Not yet tested",""))</f>
        <v/>
      </c>
      <c r="P55" s="166" t="n"/>
      <c r="T55" s="124" t="inlineStr">
        <is>
          <t>Sub</t>
        </is>
      </c>
      <c r="U55" s="124">
        <f>IF(M55="Not Met","("&amp;1&amp;") "&amp;IF(H55="Yes","★ ","")&amp;C55,"")</f>
        <v/>
      </c>
    </row>
    <row r="56" ht="42.5" customHeight="1" s="125">
      <c r="A56" s="193" t="inlineStr">
        <is>
          <t>TS3-01.2</t>
        </is>
      </c>
      <c r="B56" s="194" t="inlineStr">
        <is>
          <t>↳ sub-item</t>
        </is>
      </c>
      <c r="C56" s="193" t="inlineStr">
        <is>
          <t>Missing receiving facility (ServiceRequest.performer) — blocked or rejection shown (TD-D02)</t>
        </is>
      </c>
      <c r="D56" s="195" t="inlineStr">
        <is>
          <t>(part of TS3-01)</t>
        </is>
      </c>
      <c r="E56" s="196" t="n"/>
      <c r="F56" s="196" t="n"/>
      <c r="G56" s="196" t="n"/>
      <c r="H56" s="196" t="inlineStr">
        <is>
          <t>Yes</t>
        </is>
      </c>
      <c r="I56" s="196" t="n"/>
      <c r="J56" s="196" t="n"/>
      <c r="K56" s="196" t="n"/>
      <c r="L56" s="196" t="n"/>
      <c r="M56" s="197" t="inlineStr">
        <is>
          <t>Not Tested</t>
        </is>
      </c>
      <c r="N56" s="196" t="n"/>
      <c r="O56" s="193">
        <f>IF(M56="Not Met","Needs compliance",IF(M56="Not Tested","Not yet tested",""))</f>
        <v/>
      </c>
      <c r="P56" s="166" t="n"/>
      <c r="T56" s="124" t="inlineStr">
        <is>
          <t>Sub</t>
        </is>
      </c>
      <c r="U56" s="124">
        <f>IF(M56="Not Met","("&amp;2&amp;") "&amp;IF(H56="Yes","★ ","")&amp;C56,"")</f>
        <v/>
      </c>
    </row>
    <row r="57" ht="42.5" customHeight="1" s="125">
      <c r="A57" s="193" t="inlineStr">
        <is>
          <t>TS3-01.3</t>
        </is>
      </c>
      <c r="B57" s="194" t="inlineStr">
        <is>
          <t>↳ sub-item</t>
        </is>
      </c>
      <c r="C57" s="193" t="inlineStr">
        <is>
          <t>After correction, the referral is accepted and exactly one ServiceRequest / Task exists on the SHR</t>
        </is>
      </c>
      <c r="D57" s="195" t="inlineStr">
        <is>
          <t>(part of TS3-01)</t>
        </is>
      </c>
      <c r="E57" s="196" t="n"/>
      <c r="F57" s="196" t="n"/>
      <c r="G57" s="196" t="n"/>
      <c r="H57" s="196" t="inlineStr">
        <is>
          <t>Yes</t>
        </is>
      </c>
      <c r="I57" s="196" t="n"/>
      <c r="J57" s="196" t="n"/>
      <c r="K57" s="196" t="n"/>
      <c r="L57" s="196" t="n"/>
      <c r="M57" s="197" t="inlineStr">
        <is>
          <t>Not Tested</t>
        </is>
      </c>
      <c r="N57" s="196" t="n"/>
      <c r="O57" s="193">
        <f>IF(M57="Not Met","Needs compliance",IF(M57="Not Tested","Not yet tested",""))</f>
        <v/>
      </c>
      <c r="P57" s="166" t="n"/>
      <c r="T57" s="124" t="inlineStr">
        <is>
          <t>Sub</t>
        </is>
      </c>
      <c r="U57" s="124">
        <f>IF(M57="Not Met","("&amp;3&amp;") "&amp;IF(H57="Yes","★ ","")&amp;C57,"")</f>
        <v/>
      </c>
    </row>
    <row r="58" ht="193" customHeight="1" s="125">
      <c r="A58" s="172" t="inlineStr">
        <is>
          <t>TS3-02</t>
        </is>
      </c>
      <c r="B58" s="172" t="inlineStr">
        <is>
          <t>Exception · Malformed data</t>
        </is>
      </c>
      <c r="C58" s="172" t="inlineStr">
        <is>
          <t>Malformed values (wrong data type or format) are prevented or the SHR rejection is handled without data loss</t>
        </is>
      </c>
      <c r="D58" s="172" t="inlineStr">
        <is>
          <t xml:space="preserve">Validate data types and formats before sending (dates in ISO 8601, numeric vital signs with UCUM units, identifier formats per PH Core), OR handle the SHR rejection clearly. Entered data must not be lost when an error occurs.
Purpose: Bad formats are caught early and do not reach other facilities.
</t>
        </is>
      </c>
      <c r="E58" s="172" t="inlineStr">
        <is>
          <t xml:space="preserve">1. Use TD-D03 (impossible date, e.g., 2026-02-30), TD-D04 (non-numeric heart rate) and TD-D05 (birth date in the future).
2. Met per sub-item if the system blocks the value OR shows the SHR rejection clearly, and the rest of the entered referral is kept for correction.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
</t>
        </is>
      </c>
      <c r="F58" s="172" t="inlineStr">
        <is>
          <t>Screenshots + server-side evidence (where submitted)</t>
        </is>
      </c>
      <c r="G58" s="172" t="inlineStr">
        <is>
          <t>Validator + server-side check + Observer</t>
        </is>
      </c>
      <c r="H58" s="188" t="inlineStr">
        <is>
          <t>No</t>
        </is>
      </c>
      <c r="I58" s="172" t="n">
        <v>1</v>
      </c>
      <c r="J58" s="172" t="inlineStr">
        <is>
          <t>Count</t>
        </is>
      </c>
      <c r="K58" s="189">
        <f>COUNTA(A59:A61)-COUNTIF(M59:M61,"N/A")</f>
        <v/>
      </c>
      <c r="L58" s="189">
        <f>COUNTIF(M59:M61,"Met")</f>
        <v/>
      </c>
      <c r="M58" s="190">
        <f>IF(COUNTIF(M59:M61,"N/A")=COUNTA(A59:A61),"N/A",IF(COUNTIF(M59:M61,"Not Tested")&gt;0,"Not Tested","Counted"))</f>
        <v/>
      </c>
      <c r="N58" s="191">
        <f>IF(M58="N/A",IF(H58="Yes",0,""),IF(M58="Not Tested",0,IF(J58="Tier",IF(M58="Fully integrated",1,IF(M58="Standalone - manual encoding",0.5,0)),IF(J58="Binary",IF(M58="Met",1,0),IF(M58="Counted",IF(N(K58)&gt;0,IF(J58="All-or-nothing",IF(N(L58)&gt;=K58,1,0),MIN(N(L58)/K58,1)),0),0)))))</f>
        <v/>
      </c>
      <c r="O58" s="172">
        <f>IF(COUNTIF(M59:M61,"Not Met")&gt;0,COUNTIF(M59:M61,"Not Met")&amp;" of "&amp;K58&amp;" need compliance: "&amp;_xlfn.TEXTJOIN("; ",TRUE(),U59:U61),IF(COUNTIF(M59:M61,"Not Tested")&gt;0,COUNTIF(M59:M61,"Not Tested")&amp;" of "&amp;COUNTA(A59:A61)&amp;" not yet tested",IF(M58="N/A","","All compliant")))</f>
        <v/>
      </c>
      <c r="P58" s="173" t="n"/>
      <c r="Q58" s="175">
        <f>IF(N58="",0,I58)</f>
        <v/>
      </c>
      <c r="R58" s="175">
        <f>IF(N58="",0,I58*N58)</f>
        <v/>
      </c>
      <c r="S58" s="175">
        <f>IF(OR(AND(H58="Yes",M58&lt;&gt;"Not Tested",N58&lt;&gt;"",N58&lt;1),COUNTIFS(H59:H61,"Yes",M59:M61,"Not Met")+COUNTIFS(H59:H61,"Yes",M59:M61,"N/A")&gt;0),1,0)</f>
        <v/>
      </c>
      <c r="T58" s="175" t="inlineStr">
        <is>
          <t>Criterion</t>
        </is>
      </c>
      <c r="U58" s="175" t="n"/>
      <c r="V58" s="175">
        <f>COUNTA(A59:A61)-COUNTIF(M59:M61,"Not Tested")</f>
        <v/>
      </c>
      <c r="W58" s="175">
        <f>IF(AND(T58="Criterion",I58&gt;0,M58&lt;&gt;"Not Tested",N58&lt;&gt;"",OR(N(N58)&lt;1,S58=1)),A58,"")</f>
        <v/>
      </c>
    </row>
    <row r="59" ht="29" customHeight="1" s="125">
      <c r="A59" s="193" t="inlineStr">
        <is>
          <t>TS3-02.1</t>
        </is>
      </c>
      <c r="B59" s="194" t="inlineStr">
        <is>
          <t>↳ sub-item</t>
        </is>
      </c>
      <c r="C59" s="193" t="inlineStr">
        <is>
          <t>Impossible date (TD-D03) — prevented or rejection handled</t>
        </is>
      </c>
      <c r="D59" s="195" t="inlineStr">
        <is>
          <t>(part of TS3-02)</t>
        </is>
      </c>
      <c r="E59" s="196" t="n"/>
      <c r="F59" s="196" t="n"/>
      <c r="G59" s="196" t="n"/>
      <c r="H59" s="196" t="n"/>
      <c r="I59" s="196" t="n"/>
      <c r="J59" s="196" t="n"/>
      <c r="K59" s="196" t="n"/>
      <c r="L59" s="196" t="n"/>
      <c r="M59" s="197" t="inlineStr">
        <is>
          <t>Not Tested</t>
        </is>
      </c>
      <c r="N59" s="196" t="n"/>
      <c r="O59" s="193">
        <f>IF(M59="Not Met","Needs compliance",IF(M59="Not Tested","Not yet tested",""))</f>
        <v/>
      </c>
      <c r="P59" s="166" t="n"/>
      <c r="T59" s="124" t="inlineStr">
        <is>
          <t>Sub</t>
        </is>
      </c>
      <c r="U59" s="124">
        <f>IF(M59="Not Met","("&amp;1&amp;") "&amp;IF(H59="Yes","★ ","")&amp;C59,"")</f>
        <v/>
      </c>
    </row>
    <row r="60" ht="29" customHeight="1" s="125">
      <c r="A60" s="193" t="inlineStr">
        <is>
          <t>TS3-02.2</t>
        </is>
      </c>
      <c r="B60" s="194" t="inlineStr">
        <is>
          <t>↳ sub-item</t>
        </is>
      </c>
      <c r="C60" s="193" t="inlineStr">
        <is>
          <t>Non-numeric vital-sign value (TD-D04) — prevented or rejection handled</t>
        </is>
      </c>
      <c r="D60" s="195" t="inlineStr">
        <is>
          <t>(part of TS3-02)</t>
        </is>
      </c>
      <c r="E60" s="196" t="n"/>
      <c r="F60" s="196" t="n"/>
      <c r="G60" s="196" t="n"/>
      <c r="H60" s="196" t="n"/>
      <c r="I60" s="196" t="n"/>
      <c r="J60" s="196" t="n"/>
      <c r="K60" s="196" t="n"/>
      <c r="L60" s="196" t="n"/>
      <c r="M60" s="197" t="inlineStr">
        <is>
          <t>Not Tested</t>
        </is>
      </c>
      <c r="N60" s="196" t="n"/>
      <c r="O60" s="193">
        <f>IF(M60="Not Met","Needs compliance",IF(M60="Not Tested","Not yet tested",""))</f>
        <v/>
      </c>
      <c r="P60" s="166" t="n"/>
      <c r="T60" s="124" t="inlineStr">
        <is>
          <t>Sub</t>
        </is>
      </c>
      <c r="U60" s="124">
        <f>IF(M60="Not Met","("&amp;2&amp;") "&amp;IF(H60="Yes","★ ","")&amp;C60,"")</f>
        <v/>
      </c>
    </row>
    <row r="61" ht="29" customHeight="1" s="125">
      <c r="A61" s="193" t="inlineStr">
        <is>
          <t>TS3-02.3</t>
        </is>
      </c>
      <c r="B61" s="194" t="inlineStr">
        <is>
          <t>↳ sub-item</t>
        </is>
      </c>
      <c r="C61" s="193" t="inlineStr">
        <is>
          <t>Birth date in the future (TD-D05) — prevented or rejection handled</t>
        </is>
      </c>
      <c r="D61" s="195" t="inlineStr">
        <is>
          <t>(part of TS3-02)</t>
        </is>
      </c>
      <c r="E61" s="196" t="n"/>
      <c r="F61" s="196" t="n"/>
      <c r="G61" s="196" t="n"/>
      <c r="H61" s="196" t="n"/>
      <c r="I61" s="196" t="n"/>
      <c r="J61" s="196" t="n"/>
      <c r="K61" s="196" t="n"/>
      <c r="L61" s="196" t="n"/>
      <c r="M61" s="197" t="inlineStr">
        <is>
          <t>Not Tested</t>
        </is>
      </c>
      <c r="N61" s="196" t="n"/>
      <c r="O61" s="193">
        <f>IF(M61="Not Met","Needs compliance",IF(M61="Not Tested","Not yet tested",""))</f>
        <v/>
      </c>
      <c r="P61" s="166" t="n"/>
      <c r="T61" s="124" t="inlineStr">
        <is>
          <t>Sub</t>
        </is>
      </c>
      <c r="U61" s="124">
        <f>IF(M61="Not Met","("&amp;3&amp;") "&amp;IF(H61="Yes","★ ","")&amp;C61,"")</f>
        <v/>
      </c>
    </row>
    <row r="62" ht="179.5" customHeight="1" s="125">
      <c r="A62" s="172" t="inlineStr">
        <is>
          <t>TS3-03</t>
        </is>
      </c>
      <c r="B62" s="172" t="inlineStr">
        <is>
          <t>Exception · Invalid reference</t>
        </is>
      </c>
      <c r="C62" s="172" t="inlineStr">
        <is>
          <t>References to a facility, practitioner or patient that does not exist are prevented or the rejection is handled</t>
        </is>
      </c>
      <c r="D62" s="172" t="inlineStr">
        <is>
          <t xml:space="preserve">Resolve every reference before sending — facilities from the NHFR (TS0-06), practitioners from the registered list — OR handle the SHR rejection of an unresolvable reference clearly.
Purpose: A referral cannot be addressed to a facility that does not exist.
</t>
        </is>
      </c>
      <c r="E62" s="172" t="inlineStr">
        <is>
          <t xml:space="preserve">1. Use TD-D06 (NHFR code not in the registry) and TD-D07 (practitioner not registered in the sandbox).
2. Met per sub-item if the system blocks it OR shows the SHR rejection clearly and keeps the referral as not sent.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
</t>
        </is>
      </c>
      <c r="F62" s="172" t="inlineStr">
        <is>
          <t>Screenshots + server-side evidence</t>
        </is>
      </c>
      <c r="G62" s="172" t="inlineStr">
        <is>
          <t>Validator + server-side check + Observer</t>
        </is>
      </c>
      <c r="H62" s="188" t="inlineStr">
        <is>
          <t>No</t>
        </is>
      </c>
      <c r="I62" s="172" t="n">
        <v>1</v>
      </c>
      <c r="J62" s="172" t="inlineStr">
        <is>
          <t>Count</t>
        </is>
      </c>
      <c r="K62" s="189">
        <f>COUNTA(A63:A64)-COUNTIF(M63:M64,"N/A")</f>
        <v/>
      </c>
      <c r="L62" s="189">
        <f>COUNTIF(M63:M64,"Met")</f>
        <v/>
      </c>
      <c r="M62" s="190">
        <f>IF(COUNTIF(M63:M64,"N/A")=COUNTA(A63:A64),"N/A",IF(COUNTIF(M63:M64,"Not Tested")&gt;0,"Not Tested","Counted"))</f>
        <v/>
      </c>
      <c r="N62" s="191">
        <f>IF(M62="N/A",IF(H62="Yes",0,""),IF(M62="Not Tested",0,IF(J62="Tier",IF(M62="Fully integrated",1,IF(M62="Standalone - manual encoding",0.5,0)),IF(J62="Binary",IF(M62="Met",1,0),IF(M62="Counted",IF(N(K62)&gt;0,IF(J62="All-or-nothing",IF(N(L62)&gt;=K62,1,0),MIN(N(L62)/K62,1)),0),0)))))</f>
        <v/>
      </c>
      <c r="O62" s="172">
        <f>IF(COUNTIF(M63:M64,"Not Met")&gt;0,COUNTIF(M63:M64,"Not Met")&amp;" of "&amp;K62&amp;" need compliance: "&amp;_xlfn.TEXTJOIN("; ",TRUE(),U63:U64),IF(COUNTIF(M63:M64,"Not Tested")&gt;0,COUNTIF(M63:M64,"Not Tested")&amp;" of "&amp;COUNTA(A63:A64)&amp;" not yet tested",IF(M62="N/A","","All compliant")))</f>
        <v/>
      </c>
      <c r="P62" s="173" t="n"/>
      <c r="Q62" s="175">
        <f>IF(N62="",0,I62)</f>
        <v/>
      </c>
      <c r="R62" s="175">
        <f>IF(N62="",0,I62*N62)</f>
        <v/>
      </c>
      <c r="S62" s="175">
        <f>IF(OR(AND(H62="Yes",M62&lt;&gt;"Not Tested",N62&lt;&gt;"",N62&lt;1),COUNTIFS(H63:H64,"Yes",M63:M64,"Not Met")+COUNTIFS(H63:H64,"Yes",M63:M64,"N/A")&gt;0),1,0)</f>
        <v/>
      </c>
      <c r="T62" s="175" t="inlineStr">
        <is>
          <t>Criterion</t>
        </is>
      </c>
      <c r="U62" s="175" t="n"/>
      <c r="V62" s="175">
        <f>COUNTA(A63:A64)-COUNTIF(M63:M64,"Not Tested")</f>
        <v/>
      </c>
      <c r="W62" s="175">
        <f>IF(AND(T62="Criterion",I62&gt;0,M62&lt;&gt;"Not Tested",N62&lt;&gt;"",OR(N(N62)&lt;1,S62=1)),A62,"")</f>
        <v/>
      </c>
    </row>
    <row r="63" ht="29" customHeight="1" s="125">
      <c r="A63" s="193" t="inlineStr">
        <is>
          <t>TS3-03.1</t>
        </is>
      </c>
      <c r="B63" s="194" t="inlineStr">
        <is>
          <t>↳ sub-item</t>
        </is>
      </c>
      <c r="C63" s="193" t="inlineStr">
        <is>
          <t>Unknown receiving facility NHFR code (TD-D06) — prevented or handled</t>
        </is>
      </c>
      <c r="D63" s="195" t="inlineStr">
        <is>
          <t>(part of TS3-03)</t>
        </is>
      </c>
      <c r="E63" s="196" t="n"/>
      <c r="F63" s="196" t="n"/>
      <c r="G63" s="196" t="n"/>
      <c r="H63" s="196" t="n"/>
      <c r="I63" s="196" t="n"/>
      <c r="J63" s="196" t="n"/>
      <c r="K63" s="196" t="n"/>
      <c r="L63" s="196" t="n"/>
      <c r="M63" s="197" t="inlineStr">
        <is>
          <t>Not Tested</t>
        </is>
      </c>
      <c r="N63" s="196" t="n"/>
      <c r="O63" s="193">
        <f>IF(M63="Not Met","Needs compliance",IF(M63="Not Tested","Not yet tested",""))</f>
        <v/>
      </c>
      <c r="P63" s="166" t="n"/>
      <c r="T63" s="124" t="inlineStr">
        <is>
          <t>Sub</t>
        </is>
      </c>
      <c r="U63" s="124">
        <f>IF(M63="Not Met","("&amp;1&amp;") "&amp;IF(H63="Yes","★ ","")&amp;C63,"")</f>
        <v/>
      </c>
    </row>
    <row r="64" ht="29" customHeight="1" s="125">
      <c r="A64" s="193" t="inlineStr">
        <is>
          <t>TS3-03.2</t>
        </is>
      </c>
      <c r="B64" s="194" t="inlineStr">
        <is>
          <t>↳ sub-item</t>
        </is>
      </c>
      <c r="C64" s="193" t="inlineStr">
        <is>
          <t>Unregistered practitioner as requester (TD-D07) — prevented or handled</t>
        </is>
      </c>
      <c r="D64" s="195" t="inlineStr">
        <is>
          <t>(part of TS3-03)</t>
        </is>
      </c>
      <c r="E64" s="196" t="n"/>
      <c r="F64" s="196" t="n"/>
      <c r="G64" s="196" t="n"/>
      <c r="H64" s="196" t="n"/>
      <c r="I64" s="196" t="n"/>
      <c r="J64" s="196" t="n"/>
      <c r="K64" s="196" t="n"/>
      <c r="L64" s="196" t="n"/>
      <c r="M64" s="197" t="inlineStr">
        <is>
          <t>Not Tested</t>
        </is>
      </c>
      <c r="N64" s="196" t="n"/>
      <c r="O64" s="193">
        <f>IF(M64="Not Met","Needs compliance",IF(M64="Not Tested","Not yet tested",""))</f>
        <v/>
      </c>
      <c r="P64" s="166" t="n"/>
      <c r="T64" s="124" t="inlineStr">
        <is>
          <t>Sub</t>
        </is>
      </c>
      <c r="U64" s="124">
        <f>IF(M64="Not Met","("&amp;2&amp;") "&amp;IF(H64="Yes","★ ","")&amp;C64,"")</f>
        <v/>
      </c>
    </row>
    <row r="65" ht="233.5" customHeight="1" s="125">
      <c r="A65" s="172" t="inlineStr">
        <is>
          <t>TS3-04</t>
        </is>
      </c>
      <c r="B65" s="172" t="inlineStr">
        <is>
          <t>Exception · Duplicate submission</t>
        </is>
      </c>
      <c r="C65" s="172" t="inlineStr">
        <is>
          <t>Submitting the same referral twice (double click, resend after timeout, re-opened draft) leaves only ONE referral on the SHR</t>
        </is>
      </c>
      <c r="D65" s="172" t="inlineStr">
        <is>
          <t xml:space="preserve">Make sending idempotent — e.g., disable the Send action while waiting, give each referral a business identifier and use conditional create (If-None-Exist) or a transaction Bundle with conditional entries, or check the SHR before resending. The method is the vendor's choice.
Purpose: Duplicate referrals distort Level 3 counts and make the receiving facility prepare twice.
</t>
        </is>
      </c>
      <c r="E65" s="172" t="inlineStr">
        <is>
          <t xml:space="preserve">1. TD-D08: click Send twice quickly. 2. TD-D09: after a send, use the system's own resend / retry function for the same referral.
3. Validator (server-side) searches the SHR (ServiceRequest by patient and authored date, or by business identifier).
Met per sub-item only if exactly ONE ServiceRequest and ONE Task exist for that referral.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5" s="172" t="inlineStr">
        <is>
          <t>SHR search result (count of ServiceRequest / Task) + server-side evidence</t>
        </is>
      </c>
      <c r="G65" s="172" t="inlineStr">
        <is>
          <t>Validator (server-side check)</t>
        </is>
      </c>
      <c r="H65" s="188" t="inlineStr">
        <is>
          <t>Yes</t>
        </is>
      </c>
      <c r="I65" s="172" t="n">
        <v>2</v>
      </c>
      <c r="J65" s="172" t="inlineStr">
        <is>
          <t>Count</t>
        </is>
      </c>
      <c r="K65" s="189">
        <f>COUNTA(A66:A67)-COUNTIF(M66:M67,"N/A")</f>
        <v/>
      </c>
      <c r="L65" s="189">
        <f>COUNTIF(M66:M67,"Met")</f>
        <v/>
      </c>
      <c r="M65" s="190">
        <f>IF(COUNTIF(M66:M67,"N/A")=COUNTA(A66:A67),"N/A",IF(COUNTIF(M66:M67,"Not Tested")&gt;0,"Not Tested","Counted"))</f>
        <v/>
      </c>
      <c r="N65" s="191">
        <f>IF(M65="N/A",IF(H65="Yes",0,""),IF(M65="Not Tested",0,IF(J65="Tier",IF(M65="Fully integrated",1,IF(M65="Standalone - manual encoding",0.5,0)),IF(J65="Binary",IF(M65="Met",1,0),IF(M65="Counted",IF(N(K65)&gt;0,IF(J65="All-or-nothing",IF(N(L65)&gt;=K65,1,0),MIN(N(L65)/K65,1)),0),0)))))</f>
        <v/>
      </c>
      <c r="O65" s="172">
        <f>IF(COUNTIF(M66:M67,"Not Met")&gt;0,COUNTIF(M66:M67,"Not Met")&amp;" of "&amp;K65&amp;" need compliance: "&amp;_xlfn.TEXTJOIN("; ",TRUE(),U66:U67),IF(COUNTIF(M66:M67,"Not Tested")&gt;0,COUNTIF(M66:M67,"Not Tested")&amp;" of "&amp;COUNTA(A66:A67)&amp;" not yet tested",IF(M65="N/A","","All compliant")))</f>
        <v/>
      </c>
      <c r="P65" s="173" t="n"/>
      <c r="Q65" s="175">
        <f>IF(N65="",0,I65)</f>
        <v/>
      </c>
      <c r="R65" s="175">
        <f>IF(N65="",0,I65*N65)</f>
        <v/>
      </c>
      <c r="S65" s="175">
        <f>IF(OR(AND(H65="Yes",M65&lt;&gt;"Not Tested",N65&lt;&gt;"",N65&lt;1),COUNTIFS(H66:H67,"Yes",M66:M67,"Not Met")+COUNTIFS(H66:H67,"Yes",M66:M67,"N/A")&gt;0),1,0)</f>
        <v/>
      </c>
      <c r="T65" s="175" t="inlineStr">
        <is>
          <t>Criterion</t>
        </is>
      </c>
      <c r="U65" s="175" t="n"/>
      <c r="V65" s="175">
        <f>COUNTA(A66:A67)-COUNTIF(M66:M67,"Not Tested")</f>
        <v/>
      </c>
      <c r="W65" s="175">
        <f>IF(AND(T65="Criterion",I65&gt;0,M65&lt;&gt;"Not Tested",N65&lt;&gt;"",OR(N(N65)&lt;1,S65=1)),A65,"")</f>
        <v/>
      </c>
    </row>
    <row r="66" ht="29" customHeight="1" s="125">
      <c r="A66" s="193" t="inlineStr">
        <is>
          <t>TS3-04.1</t>
        </is>
      </c>
      <c r="B66" s="194" t="inlineStr">
        <is>
          <t>↳ sub-item</t>
        </is>
      </c>
      <c r="C66" s="193" t="inlineStr">
        <is>
          <t>Double Send (TD-D08) — exactly one ServiceRequest and one Task on the SHR</t>
        </is>
      </c>
      <c r="D66" s="195" t="inlineStr">
        <is>
          <t>(part of TS3-04)</t>
        </is>
      </c>
      <c r="E66" s="196" t="n"/>
      <c r="F66" s="196" t="n"/>
      <c r="G66" s="196" t="n"/>
      <c r="H66" s="196" t="inlineStr">
        <is>
          <t>Yes</t>
        </is>
      </c>
      <c r="I66" s="196" t="n"/>
      <c r="J66" s="196" t="n"/>
      <c r="K66" s="196" t="n"/>
      <c r="L66" s="196" t="n"/>
      <c r="M66" s="197" t="inlineStr">
        <is>
          <t>Not Tested</t>
        </is>
      </c>
      <c r="N66" s="196" t="n"/>
      <c r="O66" s="193">
        <f>IF(M66="Not Met","Needs compliance",IF(M66="Not Tested","Not yet tested",""))</f>
        <v/>
      </c>
      <c r="P66" s="166" t="n"/>
      <c r="T66" s="124" t="inlineStr">
        <is>
          <t>Sub</t>
        </is>
      </c>
      <c r="U66" s="124">
        <f>IF(M66="Not Met","("&amp;1&amp;") "&amp;IF(H66="Yes","★ ","")&amp;C66,"")</f>
        <v/>
      </c>
    </row>
    <row r="67" ht="42.5" customHeight="1" s="125">
      <c r="A67" s="193" t="inlineStr">
        <is>
          <t>TS3-04.2</t>
        </is>
      </c>
      <c r="B67" s="194" t="inlineStr">
        <is>
          <t>↳ sub-item</t>
        </is>
      </c>
      <c r="C67" s="193" t="inlineStr">
        <is>
          <t>Resend / retry of an already accepted referral (TD-D09) — no second referral created</t>
        </is>
      </c>
      <c r="D67" s="195" t="inlineStr">
        <is>
          <t>(part of TS3-04)</t>
        </is>
      </c>
      <c r="E67" s="196" t="n"/>
      <c r="F67" s="196" t="n"/>
      <c r="G67" s="196" t="n"/>
      <c r="H67" s="196" t="inlineStr">
        <is>
          <t>Yes</t>
        </is>
      </c>
      <c r="I67" s="196" t="n"/>
      <c r="J67" s="196" t="n"/>
      <c r="K67" s="196" t="n"/>
      <c r="L67" s="196" t="n"/>
      <c r="M67" s="197" t="inlineStr">
        <is>
          <t>Not Tested</t>
        </is>
      </c>
      <c r="N67" s="196" t="n"/>
      <c r="O67" s="193">
        <f>IF(M67="Not Met","Needs compliance",IF(M67="Not Tested","Not yet tested",""))</f>
        <v/>
      </c>
      <c r="P67" s="166" t="n"/>
      <c r="T67" s="124" t="inlineStr">
        <is>
          <t>Sub</t>
        </is>
      </c>
      <c r="U67" s="124">
        <f>IF(M67="Not Met","("&amp;2&amp;") "&amp;IF(H67="Yes","★ ","")&amp;C67,"")</f>
        <v/>
      </c>
    </row>
    <row r="68" ht="247" customHeight="1" s="125">
      <c r="A68" s="172" t="inlineStr">
        <is>
          <t>TS3-05</t>
        </is>
      </c>
      <c r="B68" s="172" t="inlineStr">
        <is>
          <t>Exception · Interruption &amp; retry</t>
        </is>
      </c>
      <c r="C68" s="172" t="inlineStr">
        <is>
          <t>Connection loss during or before sending: no data is lost, the referral is sent (automatically or by documented fallback) after recovery, and exactly one copy arrives</t>
        </is>
      </c>
      <c r="D68" s="172" t="inlineStr">
        <is>
          <t xml:space="preserve">Queue referrals made during connection loss and resend automatically, OR provide a documented manual fallback (user manual L1-02.5). After recovery the referral must arrive once, with the original date/time referred (absorbs Rev 6 TEC-06).
Purpose: Referrals continue during outages without loss or duplication.
</t>
        </is>
      </c>
      <c r="E68" s="172" t="inlineStr">
        <is>
          <t xml:space="preserve">1. TD-D10: disconnect the network, create and send a referral; reconnect.
2. TD-D11: interrupt the connection while a send is in progress (e.g., disable the network adapter immediately after Send).
3. Met per sub-item if, after recovery, exactly one copy is on the SHR with the original authoredOn, and the user was told the status (queued / failed / sent).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8" s="172" t="inlineStr">
        <is>
          <t>Screenshots + server-side evidence + fallback record (if manual)</t>
        </is>
      </c>
      <c r="G68" s="172" t="inlineStr">
        <is>
          <t>Validator + server-side check + Observer</t>
        </is>
      </c>
      <c r="H68" s="188" t="inlineStr">
        <is>
          <t>Yes</t>
        </is>
      </c>
      <c r="I68" s="172" t="n">
        <v>2</v>
      </c>
      <c r="J68" s="172" t="inlineStr">
        <is>
          <t>Count</t>
        </is>
      </c>
      <c r="K68" s="189">
        <f>COUNTA(A69:A71)-COUNTIF(M69:M71,"N/A")</f>
        <v/>
      </c>
      <c r="L68" s="189">
        <f>COUNTIF(M69:M71,"Met")</f>
        <v/>
      </c>
      <c r="M68" s="190">
        <f>IF(COUNTIF(M69:M71,"N/A")=COUNTA(A69:A71),"N/A",IF(COUNTIF(M69:M71,"Not Tested")&gt;0,"Not Tested","Counted"))</f>
        <v/>
      </c>
      <c r="N68" s="191">
        <f>IF(M68="N/A",IF(H68="Yes",0,""),IF(M68="Not Tested",0,IF(J68="Tier",IF(M68="Fully integrated",1,IF(M68="Standalone - manual encoding",0.5,0)),IF(J68="Binary",IF(M68="Met",1,0),IF(M68="Counted",IF(N(K68)&gt;0,IF(J68="All-or-nothing",IF(N(L68)&gt;=K68,1,0),MIN(N(L68)/K68,1)),0),0)))))</f>
        <v/>
      </c>
      <c r="O68" s="172">
        <f>IF(COUNTIF(M69:M71,"Not Met")&gt;0,COUNTIF(M69:M71,"Not Met")&amp;" of "&amp;K68&amp;" need compliance: "&amp;_xlfn.TEXTJOIN("; ",TRUE(),U69:U71),IF(COUNTIF(M69:M71,"Not Tested")&gt;0,COUNTIF(M69:M71,"Not Tested")&amp;" of "&amp;COUNTA(A69:A71)&amp;" not yet tested",IF(M68="N/A","","All compliant")))</f>
        <v/>
      </c>
      <c r="P68" s="173" t="n"/>
      <c r="Q68" s="175">
        <f>IF(N68="",0,I68)</f>
        <v/>
      </c>
      <c r="R68" s="175">
        <f>IF(N68="",0,I68*N68)</f>
        <v/>
      </c>
      <c r="S68" s="175">
        <f>IF(OR(AND(H68="Yes",M68&lt;&gt;"Not Tested",N68&lt;&gt;"",N68&lt;1),COUNTIFS(H69:H71,"Yes",M69:M71,"Not Met")+COUNTIFS(H69:H71,"Yes",M69:M71,"N/A")&gt;0),1,0)</f>
        <v/>
      </c>
      <c r="T68" s="175" t="inlineStr">
        <is>
          <t>Criterion</t>
        </is>
      </c>
      <c r="U68" s="175" t="n"/>
      <c r="V68" s="175">
        <f>COUNTA(A69:A71)-COUNTIF(M69:M71,"Not Tested")</f>
        <v/>
      </c>
      <c r="W68" s="175">
        <f>IF(AND(T68="Criterion",I68&gt;0,M68&lt;&gt;"Not Tested",N68&lt;&gt;"",OR(N(N68)&lt;1,S68=1)),A68,"")</f>
        <v/>
      </c>
    </row>
    <row r="69" ht="42.5" customHeight="1" s="125">
      <c r="A69" s="193" t="inlineStr">
        <is>
          <t>TS3-05.1</t>
        </is>
      </c>
      <c r="B69" s="194" t="inlineStr">
        <is>
          <t>↳ sub-item</t>
        </is>
      </c>
      <c r="C69" s="193" t="inlineStr">
        <is>
          <t>Offline creation (TD-D10) — queued or documented fallback followed; user sees status</t>
        </is>
      </c>
      <c r="D69" s="195" t="inlineStr">
        <is>
          <t>(part of TS3-05)</t>
        </is>
      </c>
      <c r="E69" s="196" t="n"/>
      <c r="F69" s="196" t="n"/>
      <c r="G69" s="196" t="n"/>
      <c r="H69" s="196" t="inlineStr">
        <is>
          <t>Yes</t>
        </is>
      </c>
      <c r="I69" s="196" t="n"/>
      <c r="J69" s="196" t="n"/>
      <c r="K69" s="196" t="n"/>
      <c r="L69" s="196" t="n"/>
      <c r="M69" s="197" t="inlineStr">
        <is>
          <t>Not Tested</t>
        </is>
      </c>
      <c r="N69" s="196" t="n"/>
      <c r="O69" s="193">
        <f>IF(M69="Not Met","Needs compliance",IF(M69="Not Tested","Not yet tested",""))</f>
        <v/>
      </c>
      <c r="P69" s="166" t="n"/>
      <c r="T69" s="124" t="inlineStr">
        <is>
          <t>Sub</t>
        </is>
      </c>
      <c r="U69" s="124">
        <f>IF(M69="Not Met","("&amp;1&amp;") "&amp;IF(H69="Yes","★ ","")&amp;C69,"")</f>
        <v/>
      </c>
    </row>
    <row r="70" ht="29" customHeight="1" s="125">
      <c r="A70" s="193" t="inlineStr">
        <is>
          <t>TS3-05.2</t>
        </is>
      </c>
      <c r="B70" s="194" t="inlineStr">
        <is>
          <t>↳ sub-item</t>
        </is>
      </c>
      <c r="C70" s="193" t="inlineStr">
        <is>
          <t>Interruption mid-send (TD-D11) — no loss; exactly one copy after recovery</t>
        </is>
      </c>
      <c r="D70" s="195" t="inlineStr">
        <is>
          <t>(part of TS3-05)</t>
        </is>
      </c>
      <c r="E70" s="196" t="n"/>
      <c r="F70" s="196" t="n"/>
      <c r="G70" s="196" t="n"/>
      <c r="H70" s="196" t="inlineStr">
        <is>
          <t>Yes</t>
        </is>
      </c>
      <c r="I70" s="196" t="n"/>
      <c r="J70" s="196" t="n"/>
      <c r="K70" s="196" t="n"/>
      <c r="L70" s="196" t="n"/>
      <c r="M70" s="197" t="inlineStr">
        <is>
          <t>Not Tested</t>
        </is>
      </c>
      <c r="N70" s="196" t="n"/>
      <c r="O70" s="193">
        <f>IF(M70="Not Met","Needs compliance",IF(M70="Not Tested","Not yet tested",""))</f>
        <v/>
      </c>
      <c r="P70" s="166" t="n"/>
      <c r="T70" s="124" t="inlineStr">
        <is>
          <t>Sub</t>
        </is>
      </c>
      <c r="U70" s="124">
        <f>IF(M70="Not Met","("&amp;2&amp;") "&amp;IF(H70="Yes","★ ","")&amp;C70,"")</f>
        <v/>
      </c>
    </row>
    <row r="71" ht="42.5" customHeight="1" s="125">
      <c r="A71" s="193" t="inlineStr">
        <is>
          <t>TS3-05.3</t>
        </is>
      </c>
      <c r="B71" s="194" t="inlineStr">
        <is>
          <t>↳ sub-item</t>
        </is>
      </c>
      <c r="C71" s="193" t="inlineStr">
        <is>
          <t>Original date/time referred kept after delayed sending (ServiceRequest.authoredOn)</t>
        </is>
      </c>
      <c r="D71" s="195" t="inlineStr">
        <is>
          <t>(part of TS3-05)</t>
        </is>
      </c>
      <c r="E71" s="196" t="n"/>
      <c r="F71" s="196" t="n"/>
      <c r="G71" s="196" t="n"/>
      <c r="H71" s="196" t="n"/>
      <c r="I71" s="196" t="n"/>
      <c r="J71" s="196" t="n"/>
      <c r="K71" s="196" t="n"/>
      <c r="L71" s="196" t="n"/>
      <c r="M71" s="197" t="inlineStr">
        <is>
          <t>Not Tested</t>
        </is>
      </c>
      <c r="N71" s="196" t="n"/>
      <c r="O71" s="193">
        <f>IF(M71="Not Met","Needs compliance",IF(M71="Not Tested","Not yet tested",""))</f>
        <v/>
      </c>
      <c r="P71" s="166" t="n"/>
      <c r="T71" s="124" t="inlineStr">
        <is>
          <t>Sub</t>
        </is>
      </c>
      <c r="U71" s="124">
        <f>IF(M71="Not Met","("&amp;3&amp;") "&amp;IF(H71="Yes","★ ","")&amp;C71,"")</f>
        <v/>
      </c>
    </row>
    <row r="72" ht="220" customHeight="1" s="125">
      <c r="A72" s="172" t="inlineStr">
        <is>
          <t>TS3-06</t>
        </is>
      </c>
      <c r="B72" s="172" t="inlineStr">
        <is>
          <t>Exception · Partial failure</t>
        </is>
      </c>
      <c r="C72" s="172" t="inlineStr">
        <is>
          <t>If one part of the referral fails, no half-saved referral is left on the SHR and the EMR does not report success</t>
        </is>
      </c>
      <c r="D72" s="172" t="inlineStr">
        <is>
          <t xml:space="preserve">Send the referral so that it succeeds or fails as a whole — e.g., a FHIR transaction Bundle (all-or-nothing) as in the IG example (ExampleERefSubmissionBundle), or compensating clean-up when resources are sent one by one. Report failure to the user.
Purpose: A ServiceRequest without its Task, Patient or clinical data is unusable for the receiving facility.
</t>
        </is>
      </c>
      <c r="E72" s="172" t="inlineStr">
        <is>
          <t xml:space="preserve">1. TD-D12: include one invalid resource in the referral (e.g., an Observation with a code outside LOINC, prepared with the developer).
2. Submit. Validator (server-side) checks the SHR.
Met per sub-item if no ServiceRequest / Task / partial resources from that attempt remain, and the EMR shows the failure.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72" s="172" t="inlineStr">
        <is>
          <t>Server-side evidence of the failed attempt + SHR search showing no orphan resources</t>
        </is>
      </c>
      <c r="G72" s="172" t="inlineStr">
        <is>
          <t>Validator (server-side check)</t>
        </is>
      </c>
      <c r="H72" s="188" t="inlineStr">
        <is>
          <t>Yes</t>
        </is>
      </c>
      <c r="I72" s="172" t="n">
        <v>2</v>
      </c>
      <c r="J72" s="172" t="inlineStr">
        <is>
          <t>Count</t>
        </is>
      </c>
      <c r="K72" s="189">
        <f>COUNTA(A73:A74)-COUNTIF(M73:M74,"N/A")</f>
        <v/>
      </c>
      <c r="L72" s="189">
        <f>COUNTIF(M73:M74,"Met")</f>
        <v/>
      </c>
      <c r="M72" s="190">
        <f>IF(COUNTIF(M73:M74,"N/A")=COUNTA(A73:A74),"N/A",IF(COUNTIF(M73:M74,"Not Tested")&gt;0,"Not Tested","Counted"))</f>
        <v/>
      </c>
      <c r="N72" s="191">
        <f>IF(M72="N/A",IF(H72="Yes",0,""),IF(M72="Not Tested",0,IF(J72="Tier",IF(M72="Fully integrated",1,IF(M72="Standalone - manual encoding",0.5,0)),IF(J72="Binary",IF(M72="Met",1,0),IF(M72="Counted",IF(N(K72)&gt;0,IF(J72="All-or-nothing",IF(N(L72)&gt;=K72,1,0),MIN(N(L72)/K72,1)),0),0)))))</f>
        <v/>
      </c>
      <c r="O72" s="172">
        <f>IF(COUNTIF(M73:M74,"Not Met")&gt;0,COUNTIF(M73:M74,"Not Met")&amp;" of "&amp;K72&amp;" need compliance: "&amp;_xlfn.TEXTJOIN("; ",TRUE(),U73:U74),IF(COUNTIF(M73:M74,"Not Tested")&gt;0,COUNTIF(M73:M74,"Not Tested")&amp;" of "&amp;COUNTA(A73:A74)&amp;" not yet tested",IF(M72="N/A","","All compliant")))</f>
        <v/>
      </c>
      <c r="P72" s="173" t="n"/>
      <c r="Q72" s="175">
        <f>IF(N72="",0,I72)</f>
        <v/>
      </c>
      <c r="R72" s="175">
        <f>IF(N72="",0,I72*N72)</f>
        <v/>
      </c>
      <c r="S72" s="175">
        <f>IF(OR(AND(H72="Yes",M72&lt;&gt;"Not Tested",N72&lt;&gt;"",N72&lt;1),COUNTIFS(H73:H74,"Yes",M73:M74,"Not Met")+COUNTIFS(H73:H74,"Yes",M73:M74,"N/A")&gt;0),1,0)</f>
        <v/>
      </c>
      <c r="T72" s="175" t="inlineStr">
        <is>
          <t>Criterion</t>
        </is>
      </c>
      <c r="U72" s="175" t="n"/>
      <c r="V72" s="175">
        <f>COUNTA(A73:A74)-COUNTIF(M73:M74,"Not Tested")</f>
        <v/>
      </c>
      <c r="W72" s="175">
        <f>IF(AND(T72="Criterion",I72&gt;0,M72&lt;&gt;"Not Tested",N72&lt;&gt;"",OR(N(N72)&lt;1,S72=1)),A72,"")</f>
        <v/>
      </c>
    </row>
    <row r="73" ht="29" customHeight="1" s="125">
      <c r="A73" s="193" t="inlineStr">
        <is>
          <t>TS3-06.1</t>
        </is>
      </c>
      <c r="B73" s="194" t="inlineStr">
        <is>
          <t>↳ sub-item</t>
        </is>
      </c>
      <c r="C73" s="193" t="inlineStr">
        <is>
          <t>No orphan or half-saved resources from the failed attempt on the SHR</t>
        </is>
      </c>
      <c r="D73" s="195" t="inlineStr">
        <is>
          <t>(part of TS3-06)</t>
        </is>
      </c>
      <c r="E73" s="196" t="n"/>
      <c r="F73" s="196" t="n"/>
      <c r="G73" s="196" t="n"/>
      <c r="H73" s="196" t="inlineStr">
        <is>
          <t>Yes</t>
        </is>
      </c>
      <c r="I73" s="196" t="n"/>
      <c r="J73" s="196" t="n"/>
      <c r="K73" s="196" t="n"/>
      <c r="L73" s="196" t="n"/>
      <c r="M73" s="197" t="inlineStr">
        <is>
          <t>Not Tested</t>
        </is>
      </c>
      <c r="N73" s="196" t="n"/>
      <c r="O73" s="193">
        <f>IF(M73="Not Met","Needs compliance",IF(M73="Not Tested","Not yet tested",""))</f>
        <v/>
      </c>
      <c r="P73" s="166" t="n"/>
      <c r="T73" s="124" t="inlineStr">
        <is>
          <t>Sub</t>
        </is>
      </c>
      <c r="U73" s="124">
        <f>IF(M73="Not Met","("&amp;1&amp;") "&amp;IF(H73="Yes","★ ","")&amp;C73,"")</f>
        <v/>
      </c>
    </row>
    <row r="74" ht="29" customHeight="1" s="125">
      <c r="A74" s="193" t="inlineStr">
        <is>
          <t>TS3-06.2</t>
        </is>
      </c>
      <c r="B74" s="194" t="inlineStr">
        <is>
          <t>↳ sub-item</t>
        </is>
      </c>
      <c r="C74" s="193" t="inlineStr">
        <is>
          <t>EMR does not show the referral as sent; the user can correct and resend</t>
        </is>
      </c>
      <c r="D74" s="195" t="inlineStr">
        <is>
          <t>(part of TS3-06)</t>
        </is>
      </c>
      <c r="E74" s="196" t="n"/>
      <c r="F74" s="196" t="n"/>
      <c r="G74" s="196" t="n"/>
      <c r="H74" s="196" t="inlineStr">
        <is>
          <t>Yes</t>
        </is>
      </c>
      <c r="I74" s="196" t="n"/>
      <c r="J74" s="196" t="n"/>
      <c r="K74" s="196" t="n"/>
      <c r="L74" s="196" t="n"/>
      <c r="M74" s="197" t="inlineStr">
        <is>
          <t>Not Tested</t>
        </is>
      </c>
      <c r="N74" s="196" t="n"/>
      <c r="O74" s="193">
        <f>IF(M74="Not Met","Needs compliance",IF(M74="Not Tested","Not yet tested",""))</f>
        <v/>
      </c>
      <c r="P74" s="166" t="n"/>
      <c r="T74" s="124" t="inlineStr">
        <is>
          <t>Sub</t>
        </is>
      </c>
      <c r="U74" s="124">
        <f>IF(M74="Not Met","("&amp;2&amp;") "&amp;IF(H74="Yes","★ ","")&amp;C74,"")</f>
        <v/>
      </c>
    </row>
    <row r="75" ht="206.5" customHeight="1" s="125">
      <c r="A75" s="172" t="inlineStr">
        <is>
          <t>TS3-07</t>
        </is>
      </c>
      <c r="B75" s="172" t="inlineStr">
        <is>
          <t>Exception · Dependency outage</t>
        </is>
      </c>
      <c r="C75" s="172" t="inlineStr">
        <is>
          <t>When the terminology server or a registry (NHFR / PSGC) is unavailable, the EMR degrades gracefully and never sends invented codes</t>
        </is>
      </c>
      <c r="D75" s="172" t="inlineStr">
        <is>
          <t xml:space="preserve">When a look-up service is unreachable, use a validated cached copy (scheduled sync — see Terminology &amp; Registry Sources, Reference Guide Ch. 4) OR block the coded field with a clear message. Never substitute free text or locally invented codes for a bound element.
Purpose: An outage of a national service must not corrupt the data exchanged.
</t>
        </is>
      </c>
      <c r="E75" s="172" t="inlineStr">
        <is>
          <t xml:space="preserve">1. TD-D13: the DOH makes the terminology server unreachable for the test account (or the developer points the EMR to a dead endpoint).
2. TD-D14: same for the NHFR / facility list.
3. Met per sub-item if the EMR uses a valid cached value set OR blocks with a clear message, and any code sent is valid (TS0 check on the SHR).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
</t>
        </is>
      </c>
      <c r="F75" s="172" t="inlineStr">
        <is>
          <t>Screenshots + server-side evidence of codes sent</t>
        </is>
      </c>
      <c r="G75" s="172" t="inlineStr">
        <is>
          <t>Validator + server-side check + Observer</t>
        </is>
      </c>
      <c r="H75" s="188" t="inlineStr">
        <is>
          <t>No</t>
        </is>
      </c>
      <c r="I75" s="172" t="n">
        <v>1</v>
      </c>
      <c r="J75" s="172" t="inlineStr">
        <is>
          <t>Count</t>
        </is>
      </c>
      <c r="K75" s="189">
        <f>COUNTA(A76:A77)-COUNTIF(M76:M77,"N/A")</f>
        <v/>
      </c>
      <c r="L75" s="189">
        <f>COUNTIF(M76:M77,"Met")</f>
        <v/>
      </c>
      <c r="M75" s="190">
        <f>IF(COUNTIF(M76:M77,"N/A")=COUNTA(A76:A77),"N/A",IF(COUNTIF(M76:M77,"Not Tested")&gt;0,"Not Tested","Counted"))</f>
        <v/>
      </c>
      <c r="N75" s="191">
        <f>IF(M75="N/A",IF(H75="Yes",0,""),IF(M75="Not Tested",0,IF(J75="Tier",IF(M75="Fully integrated",1,IF(M75="Standalone - manual encoding",0.5,0)),IF(J75="Binary",IF(M75="Met",1,0),IF(M75="Counted",IF(N(K75)&gt;0,IF(J75="All-or-nothing",IF(N(L75)&gt;=K75,1,0),MIN(N(L75)/K75,1)),0),0)))))</f>
        <v/>
      </c>
      <c r="O75" s="172">
        <f>IF(COUNTIF(M76:M77,"Not Met")&gt;0,COUNTIF(M76:M77,"Not Met")&amp;" of "&amp;K75&amp;" need compliance: "&amp;_xlfn.TEXTJOIN("; ",TRUE(),U76:U77),IF(COUNTIF(M76:M77,"Not Tested")&gt;0,COUNTIF(M76:M77,"Not Tested")&amp;" of "&amp;COUNTA(A76:A77)&amp;" not yet tested",IF(M75="N/A","","All compliant")))</f>
        <v/>
      </c>
      <c r="P75" s="173" t="n"/>
      <c r="Q75" s="175">
        <f>IF(N75="",0,I75)</f>
        <v/>
      </c>
      <c r="R75" s="175">
        <f>IF(N75="",0,I75*N75)</f>
        <v/>
      </c>
      <c r="S75" s="175">
        <f>IF(OR(AND(H75="Yes",M75&lt;&gt;"Not Tested",N75&lt;&gt;"",N75&lt;1),COUNTIFS(H76:H77,"Yes",M76:M77,"Not Met")+COUNTIFS(H76:H77,"Yes",M76:M77,"N/A")&gt;0),1,0)</f>
        <v/>
      </c>
      <c r="T75" s="175" t="inlineStr">
        <is>
          <t>Criterion</t>
        </is>
      </c>
      <c r="U75" s="175" t="n"/>
      <c r="V75" s="175">
        <f>COUNTA(A76:A77)-COUNTIF(M76:M77,"Not Tested")</f>
        <v/>
      </c>
      <c r="W75" s="175">
        <f>IF(AND(T75="Criterion",I75&gt;0,M75&lt;&gt;"Not Tested",N75&lt;&gt;"",OR(N(N75)&lt;1,S75=1)),A75,"")</f>
        <v/>
      </c>
    </row>
    <row r="76" ht="42.5" customHeight="1" s="125">
      <c r="A76" s="193" t="inlineStr">
        <is>
          <t>TS3-07.1</t>
        </is>
      </c>
      <c r="B76" s="194" t="inlineStr">
        <is>
          <t>↳ sub-item</t>
        </is>
      </c>
      <c r="C76" s="193" t="inlineStr">
        <is>
          <t>Terminology server unavailable (TD-D13) — cached valid codes or clear block; no invented codes</t>
        </is>
      </c>
      <c r="D76" s="195" t="inlineStr">
        <is>
          <t>(part of TS3-07)</t>
        </is>
      </c>
      <c r="E76" s="196" t="n"/>
      <c r="F76" s="196" t="n"/>
      <c r="G76" s="196" t="n"/>
      <c r="H76" s="196" t="n"/>
      <c r="I76" s="196" t="n"/>
      <c r="J76" s="196" t="n"/>
      <c r="K76" s="196" t="n"/>
      <c r="L76" s="196" t="n"/>
      <c r="M76" s="197" t="inlineStr">
        <is>
          <t>Not Tested</t>
        </is>
      </c>
      <c r="N76" s="196" t="n"/>
      <c r="O76" s="193">
        <f>IF(M76="Not Met","Needs compliance",IF(M76="Not Tested","Not yet tested",""))</f>
        <v/>
      </c>
      <c r="P76" s="166" t="n"/>
      <c r="T76" s="124" t="inlineStr">
        <is>
          <t>Sub</t>
        </is>
      </c>
      <c r="U76" s="124">
        <f>IF(M76="Not Met","("&amp;1&amp;") "&amp;IF(H76="Yes","★ ","")&amp;C76,"")</f>
        <v/>
      </c>
    </row>
    <row r="77" ht="42.5" customHeight="1" s="125">
      <c r="A77" s="193" t="inlineStr">
        <is>
          <t>TS3-07.2</t>
        </is>
      </c>
      <c r="B77" s="194" t="inlineStr">
        <is>
          <t>↳ sub-item</t>
        </is>
      </c>
      <c r="C77" s="193" t="inlineStr">
        <is>
          <t>Facility registry unavailable (TD-D14) — cached NHFR list or clear block; no free-typed facility</t>
        </is>
      </c>
      <c r="D77" s="195" t="inlineStr">
        <is>
          <t>(part of TS3-07)</t>
        </is>
      </c>
      <c r="E77" s="196" t="n"/>
      <c r="F77" s="196" t="n"/>
      <c r="G77" s="196" t="n"/>
      <c r="H77" s="196" t="n"/>
      <c r="I77" s="196" t="n"/>
      <c r="J77" s="196" t="n"/>
      <c r="K77" s="196" t="n"/>
      <c r="L77" s="196" t="n"/>
      <c r="M77" s="197" t="inlineStr">
        <is>
          <t>Not Tested</t>
        </is>
      </c>
      <c r="N77" s="196" t="n"/>
      <c r="O77" s="193">
        <f>IF(M77="Not Met","Needs compliance",IF(M77="Not Tested","Not yet tested",""))</f>
        <v/>
      </c>
      <c r="P77" s="166" t="n"/>
      <c r="T77" s="124" t="inlineStr">
        <is>
          <t>Sub</t>
        </is>
      </c>
      <c r="U77" s="124">
        <f>IF(M77="Not Met","("&amp;2&amp;") "&amp;IF(H77="Yes","★ ","")&amp;C77,"")</f>
        <v/>
      </c>
    </row>
    <row r="78" ht="179.5" customHeight="1" s="125">
      <c r="A78" s="172" t="inlineStr">
        <is>
          <t>TS3-08</t>
        </is>
      </c>
      <c r="B78" s="172" t="inlineStr">
        <is>
          <t>Exception · Authentication failure</t>
        </is>
      </c>
      <c r="C78" s="172" t="inlineStr">
        <is>
          <t>A rejected or expired system credential (EMR ↔ SHR) is reported clearly, nothing is silently dropped, and no secret appears in the message</t>
        </is>
      </c>
      <c r="D78" s="172" t="inlineStr">
        <is>
          <t xml:space="preserve">Detect HTTP 401 / 403 from the SHR, tell the user (or administrator) that the connection credential failed, keep the referral as not sent / queued, and never display tokens, passwords or keys in messages or logs (TB-07, TB-13).
Purpose: Expired credentials are a common cause of silent referral loss.
</t>
        </is>
      </c>
      <c r="E78" s="172" t="inlineStr">
        <is>
          <t xml:space="preserve">TD-D15: the DOH revokes or expires the system credential of the test EMR (or the developer configures an invalid one). Send a referral.
Met only if the user sees an understandable failure, the referral remains not sent / queued, it is sent after the credential is restored, and no secret is shown.
Server-side evidence — any ONE of: (a) Interoperability Layer transaction log (e.g., OpenHIM), (b) Inferno / official FHIR validator report, or (c) the raw FHIR request / response payload provided by the developer and captured during the session.
</t>
        </is>
      </c>
      <c r="F78" s="172" t="inlineStr">
        <is>
          <t>Screenshot of the message + server-side evidence (401 / 403, then success after restore)</t>
        </is>
      </c>
      <c r="G78" s="172" t="inlineStr">
        <is>
          <t>Validator + server-side check + Observer</t>
        </is>
      </c>
      <c r="H78" s="188" t="inlineStr">
        <is>
          <t>No</t>
        </is>
      </c>
      <c r="I78" s="172" t="n">
        <v>1</v>
      </c>
      <c r="J78" s="172" t="inlineStr">
        <is>
          <t>Binary</t>
        </is>
      </c>
      <c r="K78" s="189" t="n"/>
      <c r="L78" s="189" t="n"/>
      <c r="M78" s="190" t="inlineStr">
        <is>
          <t>Not Tested</t>
        </is>
      </c>
      <c r="N78" s="191">
        <f>IF(M78="N/A",IF(H78="Yes",0,""),IF(M78="Not Tested",0,IF(J78="Tier",IF(M78="Fully integrated",1,IF(M78="Standalone - manual encoding",0.5,0)),IF(J78="Binary",IF(M78="Met",1,0),IF(M78="Counted",IF(N(K78)&gt;0,IF(J78="All-or-nothing",IF(N(L78)&gt;=K78,1,0),MIN(N(L78)/K78,1)),0),0)))))</f>
        <v/>
      </c>
      <c r="O78" s="172">
        <f>IF(M78="Not Met","Needs compliance",IF(M78="Not Tested","Not yet tested",""))</f>
        <v/>
      </c>
      <c r="P78" s="173" t="n"/>
      <c r="Q78" s="175">
        <f>IF(N78="",0,I78)</f>
        <v/>
      </c>
      <c r="R78" s="175">
        <f>IF(N78="",0,I78*N78)</f>
        <v/>
      </c>
      <c r="S78" s="175">
        <f>IF(AND(H78="Yes",M78&lt;&gt;"Not Tested",N78&lt;&gt;"",N78&lt;1),1,0)</f>
        <v/>
      </c>
      <c r="T78" s="175" t="inlineStr">
        <is>
          <t>Criterion</t>
        </is>
      </c>
      <c r="U78" s="175" t="n"/>
      <c r="V78" s="175" t="n"/>
      <c r="W78" s="175">
        <f>IF(AND(T78="Criterion",I78&gt;0,M78&lt;&gt;"Not Tested",N78&lt;&gt;"",OR(N(N78)&lt;1,S78=1)),A78,"")</f>
        <v/>
      </c>
    </row>
    <row r="79" ht="193" customHeight="1" s="125">
      <c r="A79" s="172" t="inlineStr">
        <is>
          <t>TS3-09</t>
        </is>
      </c>
      <c r="B79" s="172" t="inlineStr">
        <is>
          <t>Exception · Receiving side</t>
        </is>
      </c>
      <c r="C79" s="172" t="inlineStr">
        <is>
          <t>Receiving side: retrieval during an SHR outage is handled, nothing is missed after recovery, and the same referral is never listed twice</t>
        </is>
      </c>
      <c r="D79" s="172" t="inlineStr">
        <is>
          <t xml:space="preserve">When the SHR is unreachable, show the user that the incoming list may be out of date; after recovery, retrieve every referral addressed to the facility. If the same notification or resource is delivered twice, show the referral once (match by resource ID / business identifier).
Purpose: No incoming referral is lost or duplicated at the receiving facility.
</t>
        </is>
      </c>
      <c r="E79" s="172" t="inlineStr">
        <is>
          <t xml:space="preserve">1. TD-D16: make the SHR unreachable from the receiving EMR; submit two referrals from the referring side; restore.
2. TD-D17: re-deliver / re-read the same referral (e.g., replay the notification or force a second poll).
Met per sub-item as described.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
</t>
        </is>
      </c>
      <c r="F79" s="172" t="inlineStr">
        <is>
          <t>Screenshots of incoming list + server-side evidence</t>
        </is>
      </c>
      <c r="G79" s="172" t="inlineStr">
        <is>
          <t>Validator + server-side check + Observer</t>
        </is>
      </c>
      <c r="H79" s="188" t="inlineStr">
        <is>
          <t>No</t>
        </is>
      </c>
      <c r="I79" s="172" t="n">
        <v>2</v>
      </c>
      <c r="J79" s="172" t="inlineStr">
        <is>
          <t>Count</t>
        </is>
      </c>
      <c r="K79" s="189">
        <f>COUNTA(A80:A82)-COUNTIF(M80:M82,"N/A")</f>
        <v/>
      </c>
      <c r="L79" s="189">
        <f>COUNTIF(M80:M82,"Met")</f>
        <v/>
      </c>
      <c r="M79" s="190">
        <f>IF(COUNTIF(M80:M82,"N/A")=COUNTA(A80:A82),"N/A",IF(COUNTIF(M80:M82,"Not Tested")&gt;0,"Not Tested","Counted"))</f>
        <v/>
      </c>
      <c r="N79" s="191">
        <f>IF(M79="N/A",IF(H79="Yes",0,""),IF(M79="Not Tested",0,IF(J79="Tier",IF(M79="Fully integrated",1,IF(M79="Standalone - manual encoding",0.5,0)),IF(J79="Binary",IF(M79="Met",1,0),IF(M79="Counted",IF(N(K79)&gt;0,IF(J79="All-or-nothing",IF(N(L79)&gt;=K79,1,0),MIN(N(L79)/K79,1)),0),0)))))</f>
        <v/>
      </c>
      <c r="O79" s="172">
        <f>IF(COUNTIF(M80:M82,"Not Met")&gt;0,COUNTIF(M80:M82,"Not Met")&amp;" of "&amp;K79&amp;" need compliance: "&amp;_xlfn.TEXTJOIN("; ",TRUE(),U80:U82),IF(COUNTIF(M80:M82,"Not Tested")&gt;0,COUNTIF(M80:M82,"Not Tested")&amp;" of "&amp;COUNTA(A80:A82)&amp;" not yet tested",IF(M79="N/A","","All compliant")))</f>
        <v/>
      </c>
      <c r="P79" s="173" t="n"/>
      <c r="Q79" s="175">
        <f>IF(N79="",0,I79)</f>
        <v/>
      </c>
      <c r="R79" s="175">
        <f>IF(N79="",0,I79*N79)</f>
        <v/>
      </c>
      <c r="S79" s="175">
        <f>IF(OR(AND(H79="Yes",M79&lt;&gt;"Not Tested",N79&lt;&gt;"",N79&lt;1),COUNTIFS(H80:H82,"Yes",M80:M82,"Not Met")+COUNTIFS(H80:H82,"Yes",M80:M82,"N/A")&gt;0),1,0)</f>
        <v/>
      </c>
      <c r="T79" s="175" t="inlineStr">
        <is>
          <t>Criterion</t>
        </is>
      </c>
      <c r="U79" s="175" t="n"/>
      <c r="V79" s="175">
        <f>COUNTA(A80:A82)-COUNTIF(M80:M82,"Not Tested")</f>
        <v/>
      </c>
      <c r="W79" s="175">
        <f>IF(AND(T79="Criterion",I79&gt;0,M79&lt;&gt;"Not Tested",N79&lt;&gt;"",OR(N(N79)&lt;1,S79=1)),A79,"")</f>
        <v/>
      </c>
    </row>
    <row r="80" ht="29" customHeight="1" s="125">
      <c r="A80" s="193" t="inlineStr">
        <is>
          <t>TS3-09.1</t>
        </is>
      </c>
      <c r="B80" s="194" t="inlineStr">
        <is>
          <t>↳ sub-item</t>
        </is>
      </c>
      <c r="C80" s="193" t="inlineStr">
        <is>
          <t>Outage shown to the user (list marked out of date / connection error)</t>
        </is>
      </c>
      <c r="D80" s="195" t="inlineStr">
        <is>
          <t>(part of TS3-09)</t>
        </is>
      </c>
      <c r="E80" s="196" t="n"/>
      <c r="F80" s="196" t="n"/>
      <c r="G80" s="196" t="n"/>
      <c r="H80" s="196" t="n"/>
      <c r="I80" s="196" t="n"/>
      <c r="J80" s="196" t="n"/>
      <c r="K80" s="196" t="n"/>
      <c r="L80" s="196" t="n"/>
      <c r="M80" s="197" t="inlineStr">
        <is>
          <t>Not Tested</t>
        </is>
      </c>
      <c r="N80" s="196" t="n"/>
      <c r="O80" s="193">
        <f>IF(M80="Not Met","Needs compliance",IF(M80="Not Tested","Not yet tested",""))</f>
        <v/>
      </c>
      <c r="P80" s="166" t="n"/>
      <c r="T80" s="124" t="inlineStr">
        <is>
          <t>Sub</t>
        </is>
      </c>
      <c r="U80" s="124">
        <f>IF(M80="Not Met","("&amp;1&amp;") "&amp;IF(H80="Yes","★ ","")&amp;C80,"")</f>
        <v/>
      </c>
    </row>
    <row r="81" ht="29" customHeight="1" s="125">
      <c r="A81" s="193" t="inlineStr">
        <is>
          <t>TS3-09.2</t>
        </is>
      </c>
      <c r="B81" s="194" t="inlineStr">
        <is>
          <t>↳ sub-item</t>
        </is>
      </c>
      <c r="C81" s="193" t="inlineStr">
        <is>
          <t>After recovery, both referrals appear without manual ID entry (TD-D16)</t>
        </is>
      </c>
      <c r="D81" s="195" t="inlineStr">
        <is>
          <t>(part of TS3-09)</t>
        </is>
      </c>
      <c r="E81" s="196" t="n"/>
      <c r="F81" s="196" t="n"/>
      <c r="G81" s="196" t="n"/>
      <c r="H81" s="196" t="n"/>
      <c r="I81" s="196" t="n"/>
      <c r="J81" s="196" t="n"/>
      <c r="K81" s="196" t="n"/>
      <c r="L81" s="196" t="n"/>
      <c r="M81" s="197" t="inlineStr">
        <is>
          <t>Not Tested</t>
        </is>
      </c>
      <c r="N81" s="196" t="n"/>
      <c r="O81" s="193">
        <f>IF(M81="Not Met","Needs compliance",IF(M81="Not Tested","Not yet tested",""))</f>
        <v/>
      </c>
      <c r="P81" s="166" t="n"/>
      <c r="T81" s="124" t="inlineStr">
        <is>
          <t>Sub</t>
        </is>
      </c>
      <c r="U81" s="124">
        <f>IF(M81="Not Met","("&amp;2&amp;") "&amp;IF(H81="Yes","★ ","")&amp;C81,"")</f>
        <v/>
      </c>
    </row>
    <row r="82" ht="29" customHeight="1" s="125">
      <c r="A82" s="193" t="inlineStr">
        <is>
          <t>TS3-09.3</t>
        </is>
      </c>
      <c r="B82" s="194" t="inlineStr">
        <is>
          <t>↳ sub-item</t>
        </is>
      </c>
      <c r="C82" s="193" t="inlineStr">
        <is>
          <t>Duplicate delivery (TD-D17) — referral listed once only</t>
        </is>
      </c>
      <c r="D82" s="195" t="inlineStr">
        <is>
          <t>(part of TS3-09)</t>
        </is>
      </c>
      <c r="E82" s="196" t="n"/>
      <c r="F82" s="196" t="n"/>
      <c r="G82" s="196" t="n"/>
      <c r="H82" s="196" t="n"/>
      <c r="I82" s="196" t="n"/>
      <c r="J82" s="196" t="n"/>
      <c r="K82" s="196" t="n"/>
      <c r="L82" s="196" t="n"/>
      <c r="M82" s="197" t="inlineStr">
        <is>
          <t>Not Tested</t>
        </is>
      </c>
      <c r="N82" s="196" t="n"/>
      <c r="O82" s="193">
        <f>IF(M82="Not Met","Needs compliance",IF(M82="Not Tested","Not yet tested",""))</f>
        <v/>
      </c>
      <c r="P82" s="166" t="n"/>
      <c r="T82" s="124" t="inlineStr">
        <is>
          <t>Sub</t>
        </is>
      </c>
      <c r="U82" s="124">
        <f>IF(M82="Not Met","("&amp;3&amp;") "&amp;IF(H82="Yes","★ ","")&amp;C82,"")</f>
        <v/>
      </c>
    </row>
  </sheetData>
  <autoFilter ref="A9:P82"/>
  <mergeCells count="2">
    <mergeCell ref="A2:P2"/>
    <mergeCell ref="G4:L7"/>
  </mergeCells>
  <conditionalFormatting sqref="N10:N82">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82">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82">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0 M11 M13 M14 M15 M16 M18 M19 M20 M21 M22 M23 M24 M25 M26 M27 M28 M29 M30 M32 M33 M34 M35 M36 M38 M39 M40 M42 M43 M44 M46 M47 M48 M49 M51 M52 M53 M55 M56 M57 M59 M60 M61 M63 M64 M66 M67 M69 M70 M71 M73 M74 M76 M77 M78 M80 M81 M82"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unreleased draft · branch certificate-demo · commit e9c2d50 · built 2026-10-16 09:44 PHT</oddHeader>
    <oddFooter>&amp;C&amp;7 Page &amp;P of &amp;N</oddFooter>
    <evenHeader/>
    <evenFooter/>
    <firstHeader/>
    <firstFooter/>
  </headerFooter>
</worksheet>
</file>

<file path=xl/worksheets/sheet11.xml><?xml version="1.0" encoding="utf-8"?>
<worksheet xmlns="http://schemas.openxmlformats.org/spreadsheetml/2006/main">
  <sheetPr filterMode="0">
    <tabColor rgb="FFED7D31"/>
    <outlinePr summaryBelow="1" summaryRight="1"/>
    <pageSetUpPr fitToPage="1"/>
  </sheetPr>
  <dimension ref="A1:W82"/>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D100" activeCellId="0" sqref="D100"/>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3 — Report Generation &amp; Dashboard</t>
        </is>
      </c>
    </row>
    <row r="2" ht="48" customHeight="1" s="125">
      <c r="A2" s="174" t="inlineStr">
        <is>
          <t>Reports must contain the required features and AGGREGATED DATA must be complete. Completeness is checked with the 10 known referrals in Test Data Section B — the aggregated figures must match the expected numbers.</t>
        </is>
      </c>
    </row>
    <row r="3"/>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Summary!D14</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8"/>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98.5" customHeight="1" s="125">
      <c r="A10" s="172" t="inlineStr">
        <is>
          <t>L3-01</t>
        </is>
      </c>
      <c r="B10" s="172" t="inlineStr">
        <is>
          <t>Reports</t>
        </is>
      </c>
      <c r="C10" s="172" t="inlineStr">
        <is>
          <t>Printable referral form contains all TS1 data elements (DOH referral form), checked by form section</t>
        </is>
      </c>
      <c r="D10" s="172" t="inlineStr">
        <is>
          <t xml:space="preserve">Provide a printable referral form that includes all TS1 data elements. Layout and section order are the vendor's choice.
Purpose: A paper copy can go with the patient if needed.
</t>
        </is>
      </c>
      <c r="E10" s="172" t="inlineStr">
        <is>
          <t xml:space="preserve">Print the Test Data referral and compare each form section with the Test Data sheet. A section is Met only if every field in it is printed correctly; write any missing field in Notes.
Mark each sub-item (↳) below; Achieved is counted automatically.
</t>
        </is>
      </c>
      <c r="F10" s="172" t="inlineStr">
        <is>
          <t>Printed form (scanned)</t>
        </is>
      </c>
      <c r="G10" s="172" t="inlineStr">
        <is>
          <t>Validator</t>
        </is>
      </c>
      <c r="H10" s="172" t="inlineStr">
        <is>
          <t>No</t>
        </is>
      </c>
      <c r="I10" s="172" t="n">
        <v>1</v>
      </c>
      <c r="J10" s="172" t="inlineStr">
        <is>
          <t>Count</t>
        </is>
      </c>
      <c r="K10" s="192">
        <f>COUNTA(A11:A16)-COUNTIF(M11:M16,"N/A")</f>
        <v/>
      </c>
      <c r="L10" s="192">
        <f>COUNTIF(M11:M16,"Met")</f>
        <v/>
      </c>
      <c r="M10" s="192">
        <f>IF(COUNTIF(M11:M16,"N/A")=COUNTA(A11:A16),"N/A",IF(COUNTIF(M11:M16,"Not Tested")&gt;0,"Not Tested","Counted"))</f>
        <v/>
      </c>
      <c r="N10" s="191">
        <f>IF(M10="N/A",IF(H10="Yes",0,""),IF(M10="Not Tested",0,IF(J10="Tier",IF(M10="Fully integrated",1,IF(M10="Standalone - manual encoding",0.5,0)),IF(J10="Binary",IF(M10="Met",1,0),IF(M10="Counted",IF(N(K10)&gt;0,IF(J10="All-or-nothing",IF(N(L10)&gt;=K10,1,0),MIN(N(L10)/K10,1)),0),0)))))</f>
        <v/>
      </c>
      <c r="O10" s="172">
        <f>IF(COUNTIF(M11:M16,"Not Met")&gt;0,COUNTIF(M11:M16,"Not Met")&amp;" of "&amp;K10&amp;" need compliance: "&amp;_xlfn.TEXTJOIN("; ",TRUE(),U11:U16),IF(COUNTIF(M11:M16,"Not Tested")&gt;0,COUNTIF(M11:M16,"Not Tested")&amp;" of "&amp;COUNTA(A11:A16)&amp;" not yet tested",IF(M10="N/A","","All compliant")))</f>
        <v/>
      </c>
      <c r="P10" s="173" t="n"/>
      <c r="Q10" s="175">
        <f>IF(N10="",0,I10)</f>
        <v/>
      </c>
      <c r="R10" s="175">
        <f>IF(N10="",0,I10*N10)</f>
        <v/>
      </c>
      <c r="S10" s="175">
        <f>IF(OR(AND(H10="Yes",M10&lt;&gt;"Not Tested",N10&lt;&gt;"",N10&lt;1),COUNTIFS(H11:H16,"Yes",M11:M16,"Not Met")+COUNTIFS(H11:H16,"Yes",M11:M16,"N/A")&gt;0),1,0)</f>
        <v/>
      </c>
      <c r="T10" s="175" t="inlineStr">
        <is>
          <t>Criterion</t>
        </is>
      </c>
      <c r="U10" s="175" t="n"/>
      <c r="V10" s="175">
        <f>COUNTA(A11:A16)-COUNTIF(M11:M16,"Not Tested")</f>
        <v/>
      </c>
      <c r="W10" s="175">
        <f>IF(AND(T10="Criterion",I10&gt;0,M10&lt;&gt;"Not Tested",N10&lt;&gt;"",OR(N(N10)&lt;1,S10=1)),A10,"")</f>
        <v/>
      </c>
    </row>
    <row r="11" ht="42.5" customHeight="1" s="125">
      <c r="A11" s="193" t="inlineStr">
        <is>
          <t>L3-01.1</t>
        </is>
      </c>
      <c r="B11" s="194" t="inlineStr">
        <is>
          <t>↳ sub-item</t>
        </is>
      </c>
      <c r="C11" s="193" t="inlineStr">
        <is>
          <t>Facility details — referring and receiving facility names, NHFR codes, addresses, HCPN (TS1-01, TS1-02)</t>
        </is>
      </c>
      <c r="D11" s="195" t="inlineStr">
        <is>
          <t>(part of L3-01)</t>
        </is>
      </c>
      <c r="E11" s="196" t="n"/>
      <c r="F11" s="196" t="n"/>
      <c r="G11" s="196" t="n"/>
      <c r="H11" s="196" t="n"/>
      <c r="I11" s="196" t="n"/>
      <c r="J11" s="196" t="n"/>
      <c r="K11" s="196" t="n"/>
      <c r="L11" s="196" t="n"/>
      <c r="M11" s="197" t="inlineStr">
        <is>
          <t>Not Tested</t>
        </is>
      </c>
      <c r="N11" s="196" t="n"/>
      <c r="O11" s="193">
        <f>IF(M11="Not Met","Needs compliance",IF(M11="Not Tested","Not yet tested",""))</f>
        <v/>
      </c>
      <c r="P11" s="166" t="n"/>
      <c r="T11" s="124" t="inlineStr">
        <is>
          <t>Sub</t>
        </is>
      </c>
      <c r="U11" s="124">
        <f>IF(M11="Not Met","("&amp;1&amp;") "&amp;IF(H11="Yes","★ ","")&amp;C11,"")</f>
        <v/>
      </c>
    </row>
    <row r="12" ht="56" customHeight="1" s="125">
      <c r="A12" s="193" t="inlineStr">
        <is>
          <t>L3-01.2</t>
        </is>
      </c>
      <c r="B12" s="194" t="inlineStr">
        <is>
          <t>↳ sub-item</t>
        </is>
      </c>
      <c r="C12" s="193" t="inlineStr">
        <is>
          <t>Patient details — name, PhilSys, PhilHealth, birth date / age, sex, civil status, address, contact, PWD, accompanying person (TS1-04, TS1-05)</t>
        </is>
      </c>
      <c r="D12" s="195" t="inlineStr">
        <is>
          <t>(part of L3-01)</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Met","("&amp;2&amp;") "&amp;IF(H12="Yes","★ ","")&amp;C12,"")</f>
        <v/>
      </c>
    </row>
    <row r="13" ht="42.5" customHeight="1" s="125">
      <c r="A13" s="193" t="inlineStr">
        <is>
          <t>L3-01.3</t>
        </is>
      </c>
      <c r="B13" s="194" t="inlineStr">
        <is>
          <t>↳ sub-item</t>
        </is>
      </c>
      <c r="C13" s="193" t="inlineStr">
        <is>
          <t>Referral details — date of referral, referral category, priority, reason for referral (TS1-06)</t>
        </is>
      </c>
      <c r="D13" s="195" t="inlineStr">
        <is>
          <t>(part of L3-01)</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Met","("&amp;3&amp;") "&amp;IF(H13="Yes","★ ","")&amp;C13,"")</f>
        <v/>
      </c>
    </row>
    <row r="14" ht="56" customHeight="1" s="125">
      <c r="A14" s="193" t="inlineStr">
        <is>
          <t>L3-01.4</t>
        </is>
      </c>
      <c r="B14" s="194" t="inlineStr">
        <is>
          <t>↳ sub-item</t>
        </is>
      </c>
      <c r="C14" s="193" t="inlineStr">
        <is>
          <t>Clinical information — chief complaint, working impression, clinical history, vital signs, lab attachment noted, treatment given (TS1-07 to TS1-10)</t>
        </is>
      </c>
      <c r="D14" s="195" t="inlineStr">
        <is>
          <t>(part of L3-01)</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Met","("&amp;4&amp;") "&amp;IF(H14="Yes","★ ","")&amp;C14,"")</f>
        <v/>
      </c>
    </row>
    <row r="15" ht="56" customHeight="1" s="125">
      <c r="A15" s="193" t="inlineStr">
        <is>
          <t>L3-01.5</t>
        </is>
      </c>
      <c r="B15" s="194" t="inlineStr">
        <is>
          <t>↳ sub-item</t>
        </is>
      </c>
      <c r="C15" s="193" t="inlineStr">
        <is>
          <t>Practitioners and signature — referring practitioner and role, care navigator, signature with date / time (TS1-03, TS1-11)</t>
        </is>
      </c>
      <c r="D15" s="195" t="inlineStr">
        <is>
          <t>(part of L3-01)</t>
        </is>
      </c>
      <c r="E15" s="196" t="n"/>
      <c r="F15" s="196" t="n"/>
      <c r="G15" s="196" t="n"/>
      <c r="H15" s="196" t="n"/>
      <c r="I15" s="196" t="n"/>
      <c r="J15" s="196" t="n"/>
      <c r="K15" s="196" t="n"/>
      <c r="L15" s="196" t="n"/>
      <c r="M15" s="197" t="inlineStr">
        <is>
          <t>Not Tested</t>
        </is>
      </c>
      <c r="N15" s="196" t="n"/>
      <c r="O15" s="193">
        <f>IF(M15="Not Met","Needs compliance",IF(M15="Not Tested","Not yet tested",""))</f>
        <v/>
      </c>
      <c r="P15" s="166" t="n"/>
      <c r="T15" s="124" t="inlineStr">
        <is>
          <t>Sub</t>
        </is>
      </c>
      <c r="U15" s="124">
        <f>IF(M15="Not Met","("&amp;5&amp;") "&amp;IF(H15="Yes","★ ","")&amp;C15,"")</f>
        <v/>
      </c>
    </row>
    <row r="16" ht="42.5" customHeight="1" s="125">
      <c r="A16" s="193" t="inlineStr">
        <is>
          <t>L3-01.6</t>
        </is>
      </c>
      <c r="B16" s="194" t="inlineStr">
        <is>
          <t>↳ sub-item</t>
        </is>
      </c>
      <c r="C16" s="193" t="inlineStr">
        <is>
          <t>Referral status — current status and receiving facility response (TS1-12, TS2-11)</t>
        </is>
      </c>
      <c r="D16" s="195" t="inlineStr">
        <is>
          <t>(part of L3-01)</t>
        </is>
      </c>
      <c r="E16" s="196" t="n"/>
      <c r="F16" s="196" t="n"/>
      <c r="G16" s="196" t="n"/>
      <c r="H16" s="196" t="n"/>
      <c r="I16" s="196" t="n"/>
      <c r="J16" s="196" t="n"/>
      <c r="K16" s="196" t="n"/>
      <c r="L16" s="196" t="n"/>
      <c r="M16" s="197" t="inlineStr">
        <is>
          <t>Not Tested</t>
        </is>
      </c>
      <c r="N16" s="196" t="n"/>
      <c r="O16" s="193">
        <f>IF(M16="Not Met","Needs compliance",IF(M16="Not Tested","Not yet tested",""))</f>
        <v/>
      </c>
      <c r="P16" s="166" t="n"/>
      <c r="T16" s="124" t="inlineStr">
        <is>
          <t>Sub</t>
        </is>
      </c>
      <c r="U16" s="124">
        <f>IF(M16="Not Met","("&amp;6&amp;") "&amp;IF(H16="Yes","★ ","")&amp;C16,"")</f>
        <v/>
      </c>
    </row>
    <row r="17" ht="85" customHeight="1" s="125">
      <c r="A17" s="172" t="inlineStr">
        <is>
          <t>L3-02</t>
        </is>
      </c>
      <c r="B17" s="172" t="inlineStr">
        <is>
          <t>Reports</t>
        </is>
      </c>
      <c r="C17" s="172" t="inlineStr">
        <is>
          <t>Referral linelist contains: (1) patient, (2) referring facility, (3) facility type, (4) facility classification, (5) TAT, (6) filter by month/year</t>
        </is>
      </c>
      <c r="D17" s="172" t="inlineStr">
        <is>
          <t xml:space="preserve">Provide a referral linelist with the 6 required columns / filters.
Purpose: The linelist has all the columns the DOH needs.
</t>
        </is>
      </c>
      <c r="E17" s="172" t="inlineStr">
        <is>
          <t xml:space="preserve">Count the required columns/filters present.
Mark each sub-item (↳) below; Achieved is counted automatically.
</t>
        </is>
      </c>
      <c r="F17" s="172" t="inlineStr">
        <is>
          <t>Linelist screenshot/export</t>
        </is>
      </c>
      <c r="G17" s="172" t="inlineStr">
        <is>
          <t>Validator</t>
        </is>
      </c>
      <c r="H17" s="172" t="inlineStr">
        <is>
          <t>No</t>
        </is>
      </c>
      <c r="I17" s="172" t="n">
        <v>1</v>
      </c>
      <c r="J17" s="172" t="inlineStr">
        <is>
          <t>Count</t>
        </is>
      </c>
      <c r="K17" s="192">
        <f>COUNTA(A18:A23)-COUNTIF(M18:M23,"N/A")</f>
        <v/>
      </c>
      <c r="L17" s="192">
        <f>COUNTIF(M18:M23,"Met")</f>
        <v/>
      </c>
      <c r="M17" s="192">
        <f>IF(COUNTIF(M18:M23,"N/A")=COUNTA(A18:A23),"N/A",IF(COUNTIF(M18:M23,"Not Tested")&gt;0,"Not Tested","Counted"))</f>
        <v/>
      </c>
      <c r="N17" s="191">
        <f>IF(M17="N/A",IF(H17="Yes",0,""),IF(M17="Not Tested",0,IF(J17="Tier",IF(M17="Fully integrated",1,IF(M17="Standalone - manual encoding",0.5,0)),IF(J17="Binary",IF(M17="Met",1,0),IF(M17="Counted",IF(N(K17)&gt;0,IF(J17="All-or-nothing",IF(N(L17)&gt;=K17,1,0),MIN(N(L17)/K17,1)),0),0)))))</f>
        <v/>
      </c>
      <c r="O17" s="172">
        <f>IF(COUNTIF(M18:M23,"Not Met")&gt;0,COUNTIF(M18:M23,"Not Met")&amp;" of "&amp;K17&amp;" need compliance: "&amp;_xlfn.TEXTJOIN("; ",TRUE(),U18:U23),IF(COUNTIF(M18:M23,"Not Tested")&gt;0,COUNTIF(M18:M23,"Not Tested")&amp;" of "&amp;COUNTA(A18:A23)&amp;" not yet tested",IF(M17="N/A","","All compliant")))</f>
        <v/>
      </c>
      <c r="P17" s="173" t="n"/>
      <c r="Q17" s="175">
        <f>IF(N17="",0,I17)</f>
        <v/>
      </c>
      <c r="R17" s="175">
        <f>IF(N17="",0,I17*N17)</f>
        <v/>
      </c>
      <c r="S17" s="175">
        <f>IF(OR(AND(H17="Yes",M17&lt;&gt;"Not Tested",N17&lt;&gt;"",N17&lt;1),COUNTIFS(H18:H23,"Yes",M18:M23,"Not Met")+COUNTIFS(H18:H23,"Yes",M18:M23,"N/A")&gt;0),1,0)</f>
        <v/>
      </c>
      <c r="T17" s="175" t="inlineStr">
        <is>
          <t>Criterion</t>
        </is>
      </c>
      <c r="U17" s="175" t="n"/>
      <c r="V17" s="175">
        <f>COUNTA(A18:A23)-COUNTIF(M18:M23,"Not Tested")</f>
        <v/>
      </c>
      <c r="W17" s="175">
        <f>IF(AND(T17="Criterion",I17&gt;0,M17&lt;&gt;"Not Tested",N17&lt;&gt;"",OR(N(N17)&lt;1,S17=1)),A17,"")</f>
        <v/>
      </c>
    </row>
    <row r="18" ht="15.5" customHeight="1" s="125">
      <c r="A18" s="193" t="inlineStr">
        <is>
          <t>L3-02.1</t>
        </is>
      </c>
      <c r="B18" s="194" t="inlineStr">
        <is>
          <t>↳ sub-item</t>
        </is>
      </c>
      <c r="C18" s="193" t="inlineStr">
        <is>
          <t>Patient</t>
        </is>
      </c>
      <c r="D18" s="195" t="inlineStr">
        <is>
          <t>(part of L3-02)</t>
        </is>
      </c>
      <c r="E18" s="196" t="n"/>
      <c r="F18" s="196" t="n"/>
      <c r="G18" s="196" t="n"/>
      <c r="H18" s="196" t="n"/>
      <c r="I18" s="196" t="n"/>
      <c r="J18" s="196" t="n"/>
      <c r="K18" s="196" t="n"/>
      <c r="L18" s="196" t="n"/>
      <c r="M18" s="197" t="inlineStr">
        <is>
          <t>Not Tested</t>
        </is>
      </c>
      <c r="N18" s="196" t="n"/>
      <c r="O18" s="193">
        <f>IF(M18="Not Met","Needs compliance",IF(M18="Not Tested","Not yet tested",""))</f>
        <v/>
      </c>
      <c r="P18" s="166" t="n"/>
      <c r="T18" s="124" t="inlineStr">
        <is>
          <t>Sub</t>
        </is>
      </c>
      <c r="U18" s="124">
        <f>IF(M18="Not Met","("&amp;1&amp;") "&amp;IF(H18="Yes","★ ","")&amp;C18,"")</f>
        <v/>
      </c>
    </row>
    <row r="19" ht="15.5" customHeight="1" s="125">
      <c r="A19" s="193" t="inlineStr">
        <is>
          <t>L3-02.2</t>
        </is>
      </c>
      <c r="B19" s="194" t="inlineStr">
        <is>
          <t>↳ sub-item</t>
        </is>
      </c>
      <c r="C19" s="193" t="inlineStr">
        <is>
          <t>Referring facility</t>
        </is>
      </c>
      <c r="D19" s="195" t="inlineStr">
        <is>
          <t>(part of L3-02)</t>
        </is>
      </c>
      <c r="E19" s="196" t="n"/>
      <c r="F19" s="196" t="n"/>
      <c r="G19" s="196" t="n"/>
      <c r="H19" s="196" t="n"/>
      <c r="I19" s="196" t="n"/>
      <c r="J19" s="196" t="n"/>
      <c r="K19" s="196" t="n"/>
      <c r="L19" s="196" t="n"/>
      <c r="M19" s="197" t="inlineStr">
        <is>
          <t>Not Tested</t>
        </is>
      </c>
      <c r="N19" s="196" t="n"/>
      <c r="O19" s="193">
        <f>IF(M19="Not Met","Needs compliance",IF(M19="Not Tested","Not yet tested",""))</f>
        <v/>
      </c>
      <c r="P19" s="166" t="n"/>
      <c r="T19" s="124" t="inlineStr">
        <is>
          <t>Sub</t>
        </is>
      </c>
      <c r="U19" s="124">
        <f>IF(M19="Not Met","("&amp;2&amp;") "&amp;IF(H19="Yes","★ ","")&amp;C19,"")</f>
        <v/>
      </c>
    </row>
    <row r="20" ht="15.5" customHeight="1" s="125">
      <c r="A20" s="193" t="inlineStr">
        <is>
          <t>L3-02.3</t>
        </is>
      </c>
      <c r="B20" s="194" t="inlineStr">
        <is>
          <t>↳ sub-item</t>
        </is>
      </c>
      <c r="C20" s="193" t="inlineStr">
        <is>
          <t>Facility type</t>
        </is>
      </c>
      <c r="D20" s="195" t="inlineStr">
        <is>
          <t>(part of L3-02)</t>
        </is>
      </c>
      <c r="E20" s="196" t="n"/>
      <c r="F20" s="196" t="n"/>
      <c r="G20" s="196" t="n"/>
      <c r="H20" s="196" t="n"/>
      <c r="I20" s="196" t="n"/>
      <c r="J20" s="196" t="n"/>
      <c r="K20" s="196" t="n"/>
      <c r="L20" s="196" t="n"/>
      <c r="M20" s="197" t="inlineStr">
        <is>
          <t>Not Tested</t>
        </is>
      </c>
      <c r="N20" s="196" t="n"/>
      <c r="O20" s="193">
        <f>IF(M20="Not Met","Needs compliance",IF(M20="Not Tested","Not yet tested",""))</f>
        <v/>
      </c>
      <c r="P20" s="166" t="n"/>
      <c r="T20" s="124" t="inlineStr">
        <is>
          <t>Sub</t>
        </is>
      </c>
      <c r="U20" s="124">
        <f>IF(M20="Not Met","("&amp;3&amp;") "&amp;IF(H20="Yes","★ ","")&amp;C20,"")</f>
        <v/>
      </c>
    </row>
    <row r="21" ht="15.5" customHeight="1" s="125">
      <c r="A21" s="193" t="inlineStr">
        <is>
          <t>L3-02.4</t>
        </is>
      </c>
      <c r="B21" s="194" t="inlineStr">
        <is>
          <t>↳ sub-item</t>
        </is>
      </c>
      <c r="C21" s="193" t="inlineStr">
        <is>
          <t>Facility classification</t>
        </is>
      </c>
      <c r="D21" s="195" t="inlineStr">
        <is>
          <t>(part of L3-02)</t>
        </is>
      </c>
      <c r="E21" s="196" t="n"/>
      <c r="F21" s="196" t="n"/>
      <c r="G21" s="196" t="n"/>
      <c r="H21" s="196" t="n"/>
      <c r="I21" s="196" t="n"/>
      <c r="J21" s="196" t="n"/>
      <c r="K21" s="196" t="n"/>
      <c r="L21" s="196" t="n"/>
      <c r="M21" s="197" t="inlineStr">
        <is>
          <t>Not Tested</t>
        </is>
      </c>
      <c r="N21" s="196" t="n"/>
      <c r="O21" s="193">
        <f>IF(M21="Not Met","Needs compliance",IF(M21="Not Tested","Not yet tested",""))</f>
        <v/>
      </c>
      <c r="P21" s="166" t="n"/>
      <c r="T21" s="124" t="inlineStr">
        <is>
          <t>Sub</t>
        </is>
      </c>
      <c r="U21" s="124">
        <f>IF(M21="Not Met","("&amp;4&amp;") "&amp;IF(H21="Yes","★ ","")&amp;C21,"")</f>
        <v/>
      </c>
    </row>
    <row r="22" ht="15.5" customHeight="1" s="125">
      <c r="A22" s="193" t="inlineStr">
        <is>
          <t>L3-02.5</t>
        </is>
      </c>
      <c r="B22" s="194" t="inlineStr">
        <is>
          <t>↳ sub-item</t>
        </is>
      </c>
      <c r="C22" s="193" t="inlineStr">
        <is>
          <t>TAT</t>
        </is>
      </c>
      <c r="D22" s="195" t="inlineStr">
        <is>
          <t>(part of L3-02)</t>
        </is>
      </c>
      <c r="E22" s="196" t="n"/>
      <c r="F22" s="196" t="n"/>
      <c r="G22" s="196" t="n"/>
      <c r="H22" s="196" t="n"/>
      <c r="I22" s="196" t="n"/>
      <c r="J22" s="196" t="n"/>
      <c r="K22" s="196" t="n"/>
      <c r="L22" s="196" t="n"/>
      <c r="M22" s="197" t="inlineStr">
        <is>
          <t>Not Tested</t>
        </is>
      </c>
      <c r="N22" s="196" t="n"/>
      <c r="O22" s="193">
        <f>IF(M22="Not Met","Needs compliance",IF(M22="Not Tested","Not yet tested",""))</f>
        <v/>
      </c>
      <c r="P22" s="166" t="n"/>
      <c r="T22" s="124" t="inlineStr">
        <is>
          <t>Sub</t>
        </is>
      </c>
      <c r="U22" s="124">
        <f>IF(M22="Not Met","("&amp;5&amp;") "&amp;IF(H22="Yes","★ ","")&amp;C22,"")</f>
        <v/>
      </c>
    </row>
    <row r="23" ht="15.5" customHeight="1" s="125">
      <c r="A23" s="193" t="inlineStr">
        <is>
          <t>L3-02.6</t>
        </is>
      </c>
      <c r="B23" s="194" t="inlineStr">
        <is>
          <t>↳ sub-item</t>
        </is>
      </c>
      <c r="C23" s="193" t="inlineStr">
        <is>
          <t>Filter by month / year</t>
        </is>
      </c>
      <c r="D23" s="195" t="inlineStr">
        <is>
          <t>(part of L3-02)</t>
        </is>
      </c>
      <c r="E23" s="196" t="n"/>
      <c r="F23" s="196" t="n"/>
      <c r="G23" s="196" t="n"/>
      <c r="H23" s="196" t="n"/>
      <c r="I23" s="196" t="n"/>
      <c r="J23" s="196" t="n"/>
      <c r="K23" s="196" t="n"/>
      <c r="L23" s="196" t="n"/>
      <c r="M23" s="197" t="inlineStr">
        <is>
          <t>Not Tested</t>
        </is>
      </c>
      <c r="N23" s="196" t="n"/>
      <c r="O23" s="193">
        <f>IF(M23="Not Met","Needs compliance",IF(M23="Not Tested","Not yet tested",""))</f>
        <v/>
      </c>
      <c r="P23" s="166" t="n"/>
      <c r="T23" s="124" t="inlineStr">
        <is>
          <t>Sub</t>
        </is>
      </c>
      <c r="U23" s="124">
        <f>IF(M23="Not Met","("&amp;6&amp;") "&amp;IF(H23="Yes","★ ","")&amp;C23,"")</f>
        <v/>
      </c>
    </row>
    <row r="24" ht="85" customHeight="1" s="125">
      <c r="A24" s="172" t="inlineStr">
        <is>
          <t>L3-03</t>
        </is>
      </c>
      <c r="B24" s="172" t="inlineStr">
        <is>
          <t>Accuracy</t>
        </is>
      </c>
      <c r="C24" s="172" t="inlineStr">
        <is>
          <t>Linelist total equals the number of test referrals (Test Data Section B)</t>
        </is>
      </c>
      <c r="D24" s="172" t="inlineStr">
        <is>
          <t xml:space="preserve">Ensure the linelist shows every referral exactly once (no loss, no duplicates).
Purpose: The system does not lose or duplicate referrals.
</t>
        </is>
      </c>
      <c r="E24" s="172" t="inlineStr">
        <is>
          <t xml:space="preserve">Compare the linelist count with the Expected value "Total referrals in linelist" in Test Data. All-or-nothing.
Calculation rule: IND-01 (Reference Guide, Ch. 6), IND-02.
</t>
        </is>
      </c>
      <c r="F24" s="172" t="inlineStr">
        <is>
          <t>Linelist export + Test Data match</t>
        </is>
      </c>
      <c r="G24" s="172" t="inlineStr">
        <is>
          <t>Validator</t>
        </is>
      </c>
      <c r="H24" s="172" t="inlineStr">
        <is>
          <t>Yes</t>
        </is>
      </c>
      <c r="I24" s="172" t="n">
        <v>2</v>
      </c>
      <c r="J24" s="172" t="inlineStr">
        <is>
          <t>Binary</t>
        </is>
      </c>
      <c r="K24" s="192" t="n"/>
      <c r="L24" s="192" t="n"/>
      <c r="M24" s="192" t="inlineStr">
        <is>
          <t>Not Tested</t>
        </is>
      </c>
      <c r="N24" s="191">
        <f>IF(M24="N/A",IF(H24="Yes",0,""),IF(M24="Not Tested",0,IF(J24="Tier",IF(M24="Fully integrated",1,IF(M24="Standalone - manual encoding",0.5,0)),IF(J24="Binary",IF(M24="Met",1,0),IF(M24="Counted",IF(N(K24)&gt;0,IF(J24="All-or-nothing",IF(N(L24)&gt;=K24,1,0),MIN(N(L24)/K24,1)),0),0)))))</f>
        <v/>
      </c>
      <c r="O24" s="172">
        <f>IF(M24="Not Met","Needs compliance",IF(M24="Not Tested","Not yet tested",""))</f>
        <v/>
      </c>
      <c r="P24" s="173" t="n"/>
      <c r="Q24" s="175">
        <f>IF(N24="",0,I24)</f>
        <v/>
      </c>
      <c r="R24" s="175">
        <f>IF(N24="",0,I24*N24)</f>
        <v/>
      </c>
      <c r="S24" s="175">
        <f>IF(AND(H24="Yes",M24&lt;&gt;"Not Tested",N24&lt;&gt;"",N24&lt;1),1,0)</f>
        <v/>
      </c>
      <c r="T24" s="175" t="inlineStr">
        <is>
          <t>Criterion</t>
        </is>
      </c>
      <c r="U24" s="175" t="n"/>
      <c r="V24" s="175" t="n"/>
      <c r="W24" s="175">
        <f>IF(AND(T24="Criterion",I24&gt;0,M24&lt;&gt;"Not Tested",N24&lt;&gt;"",OR(N(N24)&lt;1,S24=1)),A24,"")</f>
        <v/>
      </c>
    </row>
    <row r="25" ht="85" customHeight="1" s="125">
      <c r="A25" s="172" t="inlineStr">
        <is>
          <t>L3-04</t>
        </is>
      </c>
      <c r="B25" s="172" t="inlineStr">
        <is>
          <t>Aggregated Data</t>
        </is>
      </c>
      <c r="C25" s="172" t="inlineStr">
        <is>
          <t>Counts of Incoming / Outgoing / Received referrals match the expected values</t>
        </is>
      </c>
      <c r="D25" s="172" t="inlineStr">
        <is>
          <t xml:space="preserve">Count incoming, outgoing and received referrals from the referral (Task) status.
Purpose: Aggregated figures are complete.
</t>
        </is>
      </c>
      <c r="E25" s="172" t="inlineStr">
        <is>
          <t xml:space="preserve">Enter the system values in Test Data column C. Count the 3 values that show MATCH.
Mark each sub-item (↳) below; Achieved is counted automatically.
Calculation rule: IND-05.
</t>
        </is>
      </c>
      <c r="F25" s="172" t="inlineStr">
        <is>
          <t>Report screenshot + Test Data</t>
        </is>
      </c>
      <c r="G25" s="172" t="inlineStr">
        <is>
          <t>Validator</t>
        </is>
      </c>
      <c r="H25" s="172" t="inlineStr">
        <is>
          <t>Yes</t>
        </is>
      </c>
      <c r="I25" s="172" t="n">
        <v>2</v>
      </c>
      <c r="J25" s="172" t="inlineStr">
        <is>
          <t>Count</t>
        </is>
      </c>
      <c r="K25" s="192">
        <f>COUNTA(A26:A28)-COUNTIF(M26:M28,"N/A")</f>
        <v/>
      </c>
      <c r="L25" s="192">
        <f>COUNTIF(M26:M28,"Met")</f>
        <v/>
      </c>
      <c r="M25" s="192">
        <f>IF(COUNTIF(M26:M28,"N/A")=COUNTA(A26:A28),"N/A",IF(COUNTIF(M26:M28,"Not Tested")&gt;0,"Not Tested","Counted"))</f>
        <v/>
      </c>
      <c r="N25" s="191">
        <f>IF(M25="N/A",IF(H25="Yes",0,""),IF(M25="Not Tested",0,IF(J25="Tier",IF(M25="Fully integrated",1,IF(M25="Standalone - manual encoding",0.5,0)),IF(J25="Binary",IF(M25="Met",1,0),IF(M25="Counted",IF(N(K25)&gt;0,IF(J25="All-or-nothing",IF(N(L25)&gt;=K25,1,0),MIN(N(L25)/K25,1)),0),0)))))</f>
        <v/>
      </c>
      <c r="O25" s="172">
        <f>IF(COUNTIF(M26:M28,"Not Met")&gt;0,COUNTIF(M26:M28,"Not Met")&amp;" of "&amp;K25&amp;" need compliance: "&amp;_xlfn.TEXTJOIN("; ",TRUE(),U26:U28),IF(COUNTIF(M26:M28,"Not Tested")&gt;0,COUNTIF(M26:M28,"Not Tested")&amp;" of "&amp;COUNTA(A26:A28)&amp;" not yet tested",IF(M25="N/A","","All compliant")))</f>
        <v/>
      </c>
      <c r="P25" s="173" t="n"/>
      <c r="Q25" s="175">
        <f>IF(N25="",0,I25)</f>
        <v/>
      </c>
      <c r="R25" s="175">
        <f>IF(N25="",0,I25*N25)</f>
        <v/>
      </c>
      <c r="S25" s="175">
        <f>IF(OR(AND(H25="Yes",M25&lt;&gt;"Not Tested",N25&lt;&gt;"",N25&lt;1),COUNTIFS(H26:H28,"Yes",M26:M28,"Not Met")+COUNTIFS(H26:H28,"Yes",M26:M28,"N/A")&gt;0),1,0)</f>
        <v/>
      </c>
      <c r="T25" s="175" t="inlineStr">
        <is>
          <t>Criterion</t>
        </is>
      </c>
      <c r="U25" s="175" t="n"/>
      <c r="V25" s="175">
        <f>COUNTA(A26:A28)-COUNTIF(M26:M28,"Not Tested")</f>
        <v/>
      </c>
      <c r="W25" s="175">
        <f>IF(AND(T25="Criterion",I25&gt;0,M25&lt;&gt;"Not Tested",N25&lt;&gt;"",OR(N(N25)&lt;1,S25=1)),A25,"")</f>
        <v/>
      </c>
    </row>
    <row r="26" ht="15.5" customHeight="1" s="125">
      <c r="A26" s="193" t="inlineStr">
        <is>
          <t>L3-04.1</t>
        </is>
      </c>
      <c r="B26" s="194" t="inlineStr">
        <is>
          <t>↳ sub-item</t>
        </is>
      </c>
      <c r="C26" s="193" t="inlineStr">
        <is>
          <t>Incoming referrals match</t>
        </is>
      </c>
      <c r="D26" s="195" t="inlineStr">
        <is>
          <t>(part of L3-04)</t>
        </is>
      </c>
      <c r="E26" s="196" t="n"/>
      <c r="F26" s="196" t="n"/>
      <c r="G26" s="196" t="n"/>
      <c r="H26" s="196" t="n"/>
      <c r="I26" s="196" t="n"/>
      <c r="J26" s="196" t="n"/>
      <c r="K26" s="196" t="n"/>
      <c r="L26" s="196" t="n"/>
      <c r="M26" s="197" t="inlineStr">
        <is>
          <t>Not Tested</t>
        </is>
      </c>
      <c r="N26" s="196" t="n"/>
      <c r="O26" s="193">
        <f>IF(M26="Not Met","Needs compliance",IF(M26="Not Tested","Not yet tested",""))</f>
        <v/>
      </c>
      <c r="P26" s="166" t="n"/>
      <c r="T26" s="124" t="inlineStr">
        <is>
          <t>Sub</t>
        </is>
      </c>
      <c r="U26" s="124">
        <f>IF(M26="Not Met","("&amp;1&amp;") "&amp;IF(H26="Yes","★ ","")&amp;C26,"")</f>
        <v/>
      </c>
    </row>
    <row r="27" ht="15.5" customHeight="1" s="125">
      <c r="A27" s="193" t="inlineStr">
        <is>
          <t>L3-04.2</t>
        </is>
      </c>
      <c r="B27" s="194" t="inlineStr">
        <is>
          <t>↳ sub-item</t>
        </is>
      </c>
      <c r="C27" s="193" t="inlineStr">
        <is>
          <t>Outgoing referrals match</t>
        </is>
      </c>
      <c r="D27" s="195" t="inlineStr">
        <is>
          <t>(part of L3-04)</t>
        </is>
      </c>
      <c r="E27" s="196" t="n"/>
      <c r="F27" s="196" t="n"/>
      <c r="G27" s="196" t="n"/>
      <c r="H27" s="196" t="n"/>
      <c r="I27" s="196" t="n"/>
      <c r="J27" s="196" t="n"/>
      <c r="K27" s="196" t="n"/>
      <c r="L27" s="196" t="n"/>
      <c r="M27" s="197" t="inlineStr">
        <is>
          <t>Not Tested</t>
        </is>
      </c>
      <c r="N27" s="196" t="n"/>
      <c r="O27" s="193">
        <f>IF(M27="Not Met","Needs compliance",IF(M27="Not Tested","Not yet tested",""))</f>
        <v/>
      </c>
      <c r="P27" s="166" t="n"/>
      <c r="T27" s="124" t="inlineStr">
        <is>
          <t>Sub</t>
        </is>
      </c>
      <c r="U27" s="124">
        <f>IF(M27="Not Met","("&amp;2&amp;") "&amp;IF(H27="Yes","★ ","")&amp;C27,"")</f>
        <v/>
      </c>
    </row>
    <row r="28" ht="15.5" customHeight="1" s="125">
      <c r="A28" s="193" t="inlineStr">
        <is>
          <t>L3-04.3</t>
        </is>
      </c>
      <c r="B28" s="194" t="inlineStr">
        <is>
          <t>↳ sub-item</t>
        </is>
      </c>
      <c r="C28" s="193" t="inlineStr">
        <is>
          <t>Received referrals match</t>
        </is>
      </c>
      <c r="D28" s="195" t="inlineStr">
        <is>
          <t>(part of L3-04)</t>
        </is>
      </c>
      <c r="E28" s="196" t="n"/>
      <c r="F28" s="196" t="n"/>
      <c r="G28" s="196" t="n"/>
      <c r="H28" s="196" t="n"/>
      <c r="I28" s="196" t="n"/>
      <c r="J28" s="196" t="n"/>
      <c r="K28" s="196" t="n"/>
      <c r="L28" s="196" t="n"/>
      <c r="M28" s="197" t="inlineStr">
        <is>
          <t>Not Tested</t>
        </is>
      </c>
      <c r="N28" s="196" t="n"/>
      <c r="O28" s="193">
        <f>IF(M28="Not Met","Needs compliance",IF(M28="Not Tested","Not yet tested",""))</f>
        <v/>
      </c>
      <c r="P28" s="166" t="n"/>
      <c r="T28" s="124" t="inlineStr">
        <is>
          <t>Sub</t>
        </is>
      </c>
      <c r="U28" s="124">
        <f>IF(M28="Not Met","("&amp;3&amp;") "&amp;IF(H28="Yes","★ ","")&amp;C28,"")</f>
        <v/>
      </c>
    </row>
    <row r="29" ht="85" customHeight="1" s="125">
      <c r="A29" s="172" t="inlineStr">
        <is>
          <t>L3-05</t>
        </is>
      </c>
      <c r="B29" s="172" t="inlineStr">
        <is>
          <t>Aggregated Data</t>
        </is>
      </c>
      <c r="C29" s="172" t="inlineStr">
        <is>
          <t>Counts of Deferred / Denied and Redirected referrals match</t>
        </is>
      </c>
      <c r="D29" s="172" t="inlineStr">
        <is>
          <t xml:space="preserve">Count deferred / denied and redirected referrals.
Purpose: Unaccepted referrals are counted correctly.
</t>
        </is>
      </c>
      <c r="E29" s="172" t="inlineStr">
        <is>
          <t xml:space="preserve">Count the 2 values that show MATCH in Test Data.
Mark each sub-item (↳) below; Achieved is counted automatically.
Calculation rule: IND-05.
</t>
        </is>
      </c>
      <c r="F29" s="172" t="inlineStr">
        <is>
          <t>Report screenshot + Test Data</t>
        </is>
      </c>
      <c r="G29" s="172" t="inlineStr">
        <is>
          <t>Validator</t>
        </is>
      </c>
      <c r="H29" s="172" t="inlineStr">
        <is>
          <t>No</t>
        </is>
      </c>
      <c r="I29" s="172" t="n">
        <v>1</v>
      </c>
      <c r="J29" s="172" t="inlineStr">
        <is>
          <t>Count</t>
        </is>
      </c>
      <c r="K29" s="192">
        <f>COUNTA(A30:A31)-COUNTIF(M30:M31,"N/A")</f>
        <v/>
      </c>
      <c r="L29" s="192">
        <f>COUNTIF(M30:M31,"Met")</f>
        <v/>
      </c>
      <c r="M29" s="192">
        <f>IF(COUNTIF(M30:M31,"N/A")=COUNTA(A30:A31),"N/A",IF(COUNTIF(M30:M31,"Not Tested")&gt;0,"Not Tested","Counted"))</f>
        <v/>
      </c>
      <c r="N29" s="191">
        <f>IF(M29="N/A",IF(H29="Yes",0,""),IF(M29="Not Tested",0,IF(J29="Tier",IF(M29="Fully integrated",1,IF(M29="Standalone - manual encoding",0.5,0)),IF(J29="Binary",IF(M29="Met",1,0),IF(M29="Counted",IF(N(K29)&gt;0,IF(J29="All-or-nothing",IF(N(L29)&gt;=K29,1,0),MIN(N(L29)/K29,1)),0),0)))))</f>
        <v/>
      </c>
      <c r="O29" s="172">
        <f>IF(COUNTIF(M30:M31,"Not Met")&gt;0,COUNTIF(M30:M31,"Not Met")&amp;" of "&amp;K29&amp;" need compliance: "&amp;_xlfn.TEXTJOIN("; ",TRUE(),U30:U31),IF(COUNTIF(M30:M31,"Not Tested")&gt;0,COUNTIF(M30:M31,"Not Tested")&amp;" of "&amp;COUNTA(A30:A31)&amp;" not yet tested",IF(M29="N/A","","All compliant")))</f>
        <v/>
      </c>
      <c r="P29" s="173" t="n"/>
      <c r="Q29" s="175">
        <f>IF(N29="",0,I29)</f>
        <v/>
      </c>
      <c r="R29" s="175">
        <f>IF(N29="",0,I29*N29)</f>
        <v/>
      </c>
      <c r="S29" s="175">
        <f>IF(OR(AND(H29="Yes",M29&lt;&gt;"Not Tested",N29&lt;&gt;"",N29&lt;1),COUNTIFS(H30:H31,"Yes",M30:M31,"Not Met")+COUNTIFS(H30:H31,"Yes",M30:M31,"N/A")&gt;0),1,0)</f>
        <v/>
      </c>
      <c r="T29" s="175" t="inlineStr">
        <is>
          <t>Criterion</t>
        </is>
      </c>
      <c r="U29" s="175" t="n"/>
      <c r="V29" s="175">
        <f>COUNTA(A30:A31)-COUNTIF(M30:M31,"Not Tested")</f>
        <v/>
      </c>
      <c r="W29" s="175">
        <f>IF(AND(T29="Criterion",I29&gt;0,M29&lt;&gt;"Not Tested",N29&lt;&gt;"",OR(N(N29)&lt;1,S29=1)),A29,"")</f>
        <v/>
      </c>
    </row>
    <row r="30" ht="15.5" customHeight="1" s="125">
      <c r="A30" s="193" t="inlineStr">
        <is>
          <t>L3-05.1</t>
        </is>
      </c>
      <c r="B30" s="194" t="inlineStr">
        <is>
          <t>↳ sub-item</t>
        </is>
      </c>
      <c r="C30" s="193" t="inlineStr">
        <is>
          <t>Deferred / denied referrals match</t>
        </is>
      </c>
      <c r="D30" s="195" t="inlineStr">
        <is>
          <t>(part of L3-05)</t>
        </is>
      </c>
      <c r="E30" s="196" t="n"/>
      <c r="F30" s="196" t="n"/>
      <c r="G30" s="196" t="n"/>
      <c r="H30" s="196" t="n"/>
      <c r="I30" s="196" t="n"/>
      <c r="J30" s="196" t="n"/>
      <c r="K30" s="196" t="n"/>
      <c r="L30" s="196" t="n"/>
      <c r="M30" s="197" t="inlineStr">
        <is>
          <t>Not Tested</t>
        </is>
      </c>
      <c r="N30" s="196" t="n"/>
      <c r="O30" s="193">
        <f>IF(M30="Not Met","Needs compliance",IF(M30="Not Tested","Not yet tested",""))</f>
        <v/>
      </c>
      <c r="P30" s="166" t="n"/>
      <c r="T30" s="124" t="inlineStr">
        <is>
          <t>Sub</t>
        </is>
      </c>
      <c r="U30" s="124">
        <f>IF(M30="Not Met","("&amp;1&amp;") "&amp;IF(H30="Yes","★ ","")&amp;C30,"")</f>
        <v/>
      </c>
    </row>
    <row r="31" ht="15.5" customHeight="1" s="125">
      <c r="A31" s="193" t="inlineStr">
        <is>
          <t>L3-05.2</t>
        </is>
      </c>
      <c r="B31" s="194" t="inlineStr">
        <is>
          <t>↳ sub-item</t>
        </is>
      </c>
      <c r="C31" s="193" t="inlineStr">
        <is>
          <t>Redirected referrals match</t>
        </is>
      </c>
      <c r="D31" s="195" t="inlineStr">
        <is>
          <t>(part of L3-05)</t>
        </is>
      </c>
      <c r="E31" s="196" t="n"/>
      <c r="F31" s="196" t="n"/>
      <c r="G31" s="196" t="n"/>
      <c r="H31" s="196" t="n"/>
      <c r="I31" s="196" t="n"/>
      <c r="J31" s="196" t="n"/>
      <c r="K31" s="196" t="n"/>
      <c r="L31" s="196" t="n"/>
      <c r="M31" s="197" t="inlineStr">
        <is>
          <t>Not Tested</t>
        </is>
      </c>
      <c r="N31" s="196" t="n"/>
      <c r="O31" s="193">
        <f>IF(M31="Not Met","Needs compliance",IF(M31="Not Tested","Not yet tested",""))</f>
        <v/>
      </c>
      <c r="P31" s="166" t="n"/>
      <c r="T31" s="124" t="inlineStr">
        <is>
          <t>Sub</t>
        </is>
      </c>
      <c r="U31" s="124">
        <f>IF(M31="Not Met","("&amp;2&amp;") "&amp;IF(H31="Yes","★ ","")&amp;C31,"")</f>
        <v/>
      </c>
    </row>
    <row r="32" ht="85" customHeight="1" s="125">
      <c r="A32" s="172" t="inlineStr">
        <is>
          <t>L3-06</t>
        </is>
      </c>
      <c r="B32" s="172" t="inlineStr">
        <is>
          <t>Aggregated Data</t>
        </is>
      </c>
      <c r="C32" s="172" t="inlineStr">
        <is>
          <t>Top reasons for referral are counted and ranked correctly</t>
        </is>
      </c>
      <c r="D32" s="172" t="inlineStr">
        <is>
          <t xml:space="preserve">Count and rank referrals by reason for referral.
Purpose: Shows the true pattern of referral needs.
</t>
        </is>
      </c>
      <c r="E32" s="172" t="inlineStr">
        <is>
          <t xml:space="preserve">Count the 4 reason values that show MATCH in Test Data.
Mark each sub-item (↳) below; Achieved is counted automatically.
Calculation rule: IND-06.
</t>
        </is>
      </c>
      <c r="F32" s="172" t="inlineStr">
        <is>
          <t>Report screenshot + Test Data</t>
        </is>
      </c>
      <c r="G32" s="172" t="inlineStr">
        <is>
          <t>Validator</t>
        </is>
      </c>
      <c r="H32" s="172" t="inlineStr">
        <is>
          <t>No</t>
        </is>
      </c>
      <c r="I32" s="172" t="n">
        <v>1</v>
      </c>
      <c r="J32" s="172" t="inlineStr">
        <is>
          <t>Count</t>
        </is>
      </c>
      <c r="K32" s="192">
        <f>COUNTA(A33:A36)-COUNTIF(M33:M36,"N/A")</f>
        <v/>
      </c>
      <c r="L32" s="192">
        <f>COUNTIF(M33:M36,"Met")</f>
        <v/>
      </c>
      <c r="M32" s="192">
        <f>IF(COUNTIF(M33:M36,"N/A")=COUNTA(A33:A36),"N/A",IF(COUNTIF(M33:M36,"Not Tested")&gt;0,"Not Tested","Counted"))</f>
        <v/>
      </c>
      <c r="N32" s="191">
        <f>IF(M32="N/A",IF(H32="Yes",0,""),IF(M32="Not Tested",0,IF(J32="Tier",IF(M32="Fully integrated",1,IF(M32="Standalone - manual encoding",0.5,0)),IF(J32="Binary",IF(M32="Met",1,0),IF(M32="Counted",IF(N(K32)&gt;0,IF(J32="All-or-nothing",IF(N(L32)&gt;=K32,1,0),MIN(N(L32)/K32,1)),0),0)))))</f>
        <v/>
      </c>
      <c r="O32" s="172">
        <f>IF(COUNTIF(M33:M36,"Not Met")&gt;0,COUNTIF(M33:M36,"Not Met")&amp;" of "&amp;K32&amp;" need compliance: "&amp;_xlfn.TEXTJOIN("; ",TRUE(),U33:U36),IF(COUNTIF(M33:M36,"Not Tested")&gt;0,COUNTIF(M33:M36,"Not Tested")&amp;" of "&amp;COUNTA(A33:A36)&amp;" not yet tested",IF(M32="N/A","","All compliant")))</f>
        <v/>
      </c>
      <c r="P32" s="173" t="n"/>
      <c r="Q32" s="175">
        <f>IF(N32="",0,I32)</f>
        <v/>
      </c>
      <c r="R32" s="175">
        <f>IF(N32="",0,I32*N32)</f>
        <v/>
      </c>
      <c r="S32" s="175">
        <f>IF(OR(AND(H32="Yes",M32&lt;&gt;"Not Tested",N32&lt;&gt;"",N32&lt;1),COUNTIFS(H33:H36,"Yes",M33:M36,"Not Met")+COUNTIFS(H33:H36,"Yes",M33:M36,"N/A")&gt;0),1,0)</f>
        <v/>
      </c>
      <c r="T32" s="175" t="inlineStr">
        <is>
          <t>Criterion</t>
        </is>
      </c>
      <c r="U32" s="175" t="n"/>
      <c r="V32" s="175">
        <f>COUNTA(A33:A36)-COUNTIF(M33:M36,"Not Tested")</f>
        <v/>
      </c>
      <c r="W32" s="175">
        <f>IF(AND(T32="Criterion",I32&gt;0,M32&lt;&gt;"Not Tested",N32&lt;&gt;"",OR(N(N32)&lt;1,S32=1)),A32,"")</f>
        <v/>
      </c>
    </row>
    <row r="33" ht="15.5" customHeight="1" s="125">
      <c r="A33" s="193" t="inlineStr">
        <is>
          <t>L3-06.1</t>
        </is>
      </c>
      <c r="B33" s="194" t="inlineStr">
        <is>
          <t>↳ sub-item</t>
        </is>
      </c>
      <c r="C33" s="193" t="inlineStr">
        <is>
          <t>Reason: Consultation matches</t>
        </is>
      </c>
      <c r="D33" s="195" t="inlineStr">
        <is>
          <t>(part of L3-06)</t>
        </is>
      </c>
      <c r="E33" s="196" t="n"/>
      <c r="F33" s="196" t="n"/>
      <c r="G33" s="196" t="n"/>
      <c r="H33" s="196" t="n"/>
      <c r="I33" s="196" t="n"/>
      <c r="J33" s="196" t="n"/>
      <c r="K33" s="196" t="n"/>
      <c r="L33" s="196" t="n"/>
      <c r="M33" s="197" t="inlineStr">
        <is>
          <t>Not Tested</t>
        </is>
      </c>
      <c r="N33" s="196" t="n"/>
      <c r="O33" s="193">
        <f>IF(M33="Not Met","Needs compliance",IF(M33="Not Tested","Not yet tested",""))</f>
        <v/>
      </c>
      <c r="P33" s="166" t="n"/>
      <c r="T33" s="124" t="inlineStr">
        <is>
          <t>Sub</t>
        </is>
      </c>
      <c r="U33" s="124">
        <f>IF(M33="Not Met","("&amp;1&amp;") "&amp;IF(H33="Yes","★ ","")&amp;C33,"")</f>
        <v/>
      </c>
    </row>
    <row r="34" ht="15.5" customHeight="1" s="125">
      <c r="A34" s="193" t="inlineStr">
        <is>
          <t>L3-06.2</t>
        </is>
      </c>
      <c r="B34" s="194" t="inlineStr">
        <is>
          <t>↳ sub-item</t>
        </is>
      </c>
      <c r="C34" s="193" t="inlineStr">
        <is>
          <t>Reason: Diagnostics matches</t>
        </is>
      </c>
      <c r="D34" s="195" t="inlineStr">
        <is>
          <t>(part of L3-06)</t>
        </is>
      </c>
      <c r="E34" s="196" t="n"/>
      <c r="F34" s="196" t="n"/>
      <c r="G34" s="196" t="n"/>
      <c r="H34" s="196" t="n"/>
      <c r="I34" s="196" t="n"/>
      <c r="J34" s="196" t="n"/>
      <c r="K34" s="196" t="n"/>
      <c r="L34" s="196" t="n"/>
      <c r="M34" s="197" t="inlineStr">
        <is>
          <t>Not Tested</t>
        </is>
      </c>
      <c r="N34" s="196" t="n"/>
      <c r="O34" s="193">
        <f>IF(M34="Not Met","Needs compliance",IF(M34="Not Tested","Not yet tested",""))</f>
        <v/>
      </c>
      <c r="P34" s="166" t="n"/>
      <c r="T34" s="124" t="inlineStr">
        <is>
          <t>Sub</t>
        </is>
      </c>
      <c r="U34" s="124">
        <f>IF(M34="Not Met","("&amp;2&amp;") "&amp;IF(H34="Yes","★ ","")&amp;C34,"")</f>
        <v/>
      </c>
    </row>
    <row r="35" ht="15.5" customHeight="1" s="125">
      <c r="A35" s="193" t="inlineStr">
        <is>
          <t>L3-06.3</t>
        </is>
      </c>
      <c r="B35" s="194" t="inlineStr">
        <is>
          <t>↳ sub-item</t>
        </is>
      </c>
      <c r="C35" s="193" t="inlineStr">
        <is>
          <t>Reason: Procedure matches</t>
        </is>
      </c>
      <c r="D35" s="195" t="inlineStr">
        <is>
          <t>(part of L3-06)</t>
        </is>
      </c>
      <c r="E35" s="196" t="n"/>
      <c r="F35" s="196" t="n"/>
      <c r="G35" s="196" t="n"/>
      <c r="H35" s="196" t="n"/>
      <c r="I35" s="196" t="n"/>
      <c r="J35" s="196" t="n"/>
      <c r="K35" s="196" t="n"/>
      <c r="L35" s="196" t="n"/>
      <c r="M35" s="197" t="inlineStr">
        <is>
          <t>Not Tested</t>
        </is>
      </c>
      <c r="N35" s="196" t="n"/>
      <c r="O35" s="193">
        <f>IF(M35="Not Met","Needs compliance",IF(M35="Not Tested","Not yet tested",""))</f>
        <v/>
      </c>
      <c r="P35" s="166" t="n"/>
      <c r="T35" s="124" t="inlineStr">
        <is>
          <t>Sub</t>
        </is>
      </c>
      <c r="U35" s="124">
        <f>IF(M35="Not Met","("&amp;3&amp;") "&amp;IF(H35="Yes","★ ","")&amp;C35,"")</f>
        <v/>
      </c>
    </row>
    <row r="36" ht="15.5" customHeight="1" s="125">
      <c r="A36" s="193" t="inlineStr">
        <is>
          <t>L3-06.4</t>
        </is>
      </c>
      <c r="B36" s="194" t="inlineStr">
        <is>
          <t>↳ sub-item</t>
        </is>
      </c>
      <c r="C36" s="193" t="inlineStr">
        <is>
          <t>Reason: Others matches</t>
        </is>
      </c>
      <c r="D36" s="195" t="inlineStr">
        <is>
          <t>(part of L3-06)</t>
        </is>
      </c>
      <c r="E36" s="196" t="n"/>
      <c r="F36" s="196" t="n"/>
      <c r="G36" s="196" t="n"/>
      <c r="H36" s="196" t="n"/>
      <c r="I36" s="196" t="n"/>
      <c r="J36" s="196" t="n"/>
      <c r="K36" s="196" t="n"/>
      <c r="L36" s="196" t="n"/>
      <c r="M36" s="197" t="inlineStr">
        <is>
          <t>Not Tested</t>
        </is>
      </c>
      <c r="N36" s="196" t="n"/>
      <c r="O36" s="193">
        <f>IF(M36="Not Met","Needs compliance",IF(M36="Not Tested","Not yet tested",""))</f>
        <v/>
      </c>
      <c r="P36" s="166" t="n"/>
      <c r="T36" s="124" t="inlineStr">
        <is>
          <t>Sub</t>
        </is>
      </c>
      <c r="U36" s="124">
        <f>IF(M36="Not Met","("&amp;4&amp;") "&amp;IF(H36="Yes","★ ","")&amp;C36,"")</f>
        <v/>
      </c>
    </row>
    <row r="37" ht="85" customHeight="1" s="125">
      <c r="A37" s="172" t="inlineStr">
        <is>
          <t>L3-07</t>
        </is>
      </c>
      <c r="B37" s="172" t="inlineStr">
        <is>
          <t>Aggregated Data</t>
        </is>
      </c>
      <c r="C37" s="172" t="inlineStr">
        <is>
          <t>Government / Private facility counts (incoming and outgoing) match</t>
        </is>
      </c>
      <c r="D37" s="172" t="inlineStr">
        <is>
          <t xml:space="preserve">Count referrals by government / private ownership of the facility (from NHFR data).
Purpose: Supports network planning across public and private facilities.
</t>
        </is>
      </c>
      <c r="E37" s="172" t="inlineStr">
        <is>
          <t xml:space="preserve">Count the 4 ownership values that show MATCH in Test Data.
Mark each sub-item (↳) below; Achieved is counted automatically.
Calculation rule: IND-07.
</t>
        </is>
      </c>
      <c r="F37" s="172" t="inlineStr">
        <is>
          <t>Report screenshot + Test Data</t>
        </is>
      </c>
      <c r="G37" s="172" t="inlineStr">
        <is>
          <t>Validator</t>
        </is>
      </c>
      <c r="H37" s="172" t="inlineStr">
        <is>
          <t>No</t>
        </is>
      </c>
      <c r="I37" s="172" t="n">
        <v>1</v>
      </c>
      <c r="J37" s="172" t="inlineStr">
        <is>
          <t>Count</t>
        </is>
      </c>
      <c r="K37" s="192">
        <f>COUNTA(A38:A41)-COUNTIF(M38:M41,"N/A")</f>
        <v/>
      </c>
      <c r="L37" s="192">
        <f>COUNTIF(M38:M41,"Met")</f>
        <v/>
      </c>
      <c r="M37" s="192">
        <f>IF(COUNTIF(M38:M41,"N/A")=COUNTA(A38:A41),"N/A",IF(COUNTIF(M38:M41,"Not Tested")&gt;0,"Not Tested","Counted"))</f>
        <v/>
      </c>
      <c r="N37" s="191">
        <f>IF(M37="N/A",IF(H37="Yes",0,""),IF(M37="Not Tested",0,IF(J37="Tier",IF(M37="Fully integrated",1,IF(M37="Standalone - manual encoding",0.5,0)),IF(J37="Binary",IF(M37="Met",1,0),IF(M37="Counted",IF(N(K37)&gt;0,IF(J37="All-or-nothing",IF(N(L37)&gt;=K37,1,0),MIN(N(L37)/K37,1)),0),0)))))</f>
        <v/>
      </c>
      <c r="O37" s="172">
        <f>IF(COUNTIF(M38:M41,"Not Met")&gt;0,COUNTIF(M38:M41,"Not Met")&amp;" of "&amp;K37&amp;" need compliance: "&amp;_xlfn.TEXTJOIN("; ",TRUE(),U38:U41),IF(COUNTIF(M38:M41,"Not Tested")&gt;0,COUNTIF(M38:M41,"Not Tested")&amp;" of "&amp;COUNTA(A38:A41)&amp;" not yet tested",IF(M37="N/A","","All compliant")))</f>
        <v/>
      </c>
      <c r="P37" s="173" t="n"/>
      <c r="Q37" s="175">
        <f>IF(N37="",0,I37)</f>
        <v/>
      </c>
      <c r="R37" s="175">
        <f>IF(N37="",0,I37*N37)</f>
        <v/>
      </c>
      <c r="S37" s="175">
        <f>IF(OR(AND(H37="Yes",M37&lt;&gt;"Not Tested",N37&lt;&gt;"",N37&lt;1),COUNTIFS(H38:H41,"Yes",M38:M41,"Not Met")+COUNTIFS(H38:H41,"Yes",M38:M41,"N/A")&gt;0),1,0)</f>
        <v/>
      </c>
      <c r="T37" s="175" t="inlineStr">
        <is>
          <t>Criterion</t>
        </is>
      </c>
      <c r="U37" s="175" t="n"/>
      <c r="V37" s="175">
        <f>COUNTA(A38:A41)-COUNTIF(M38:M41,"Not Tested")</f>
        <v/>
      </c>
      <c r="W37" s="175">
        <f>IF(AND(T37="Criterion",I37&gt;0,M37&lt;&gt;"Not Tested",N37&lt;&gt;"",OR(N(N37)&lt;1,S37=1)),A37,"")</f>
        <v/>
      </c>
    </row>
    <row r="38" ht="29" customHeight="1" s="125">
      <c r="A38" s="193" t="inlineStr">
        <is>
          <t>L3-07.1</t>
        </is>
      </c>
      <c r="B38" s="194" t="inlineStr">
        <is>
          <t>↳ sub-item</t>
        </is>
      </c>
      <c r="C38" s="193" t="inlineStr">
        <is>
          <t>Incoming from government facilities match</t>
        </is>
      </c>
      <c r="D38" s="195" t="inlineStr">
        <is>
          <t>(part of L3-07)</t>
        </is>
      </c>
      <c r="E38" s="196" t="n"/>
      <c r="F38" s="196" t="n"/>
      <c r="G38" s="196" t="n"/>
      <c r="H38" s="196" t="n"/>
      <c r="I38" s="196" t="n"/>
      <c r="J38" s="196" t="n"/>
      <c r="K38" s="196" t="n"/>
      <c r="L38" s="196" t="n"/>
      <c r="M38" s="197" t="inlineStr">
        <is>
          <t>Not Tested</t>
        </is>
      </c>
      <c r="N38" s="196" t="n"/>
      <c r="O38" s="193">
        <f>IF(M38="Not Met","Needs compliance",IF(M38="Not Tested","Not yet tested",""))</f>
        <v/>
      </c>
      <c r="P38" s="166" t="n"/>
      <c r="T38" s="124" t="inlineStr">
        <is>
          <t>Sub</t>
        </is>
      </c>
      <c r="U38" s="124">
        <f>IF(M38="Not Met","("&amp;1&amp;") "&amp;IF(H38="Yes","★ ","")&amp;C38,"")</f>
        <v/>
      </c>
    </row>
    <row r="39" ht="15.5" customHeight="1" s="125">
      <c r="A39" s="193" t="inlineStr">
        <is>
          <t>L3-07.2</t>
        </is>
      </c>
      <c r="B39" s="194" t="inlineStr">
        <is>
          <t>↳ sub-item</t>
        </is>
      </c>
      <c r="C39" s="193" t="inlineStr">
        <is>
          <t>Incoming from private facilities match</t>
        </is>
      </c>
      <c r="D39" s="195" t="inlineStr">
        <is>
          <t>(part of L3-07)</t>
        </is>
      </c>
      <c r="E39" s="196" t="n"/>
      <c r="F39" s="196" t="n"/>
      <c r="G39" s="196" t="n"/>
      <c r="H39" s="196" t="n"/>
      <c r="I39" s="196" t="n"/>
      <c r="J39" s="196" t="n"/>
      <c r="K39" s="196" t="n"/>
      <c r="L39" s="196" t="n"/>
      <c r="M39" s="197" t="inlineStr">
        <is>
          <t>Not Tested</t>
        </is>
      </c>
      <c r="N39" s="196" t="n"/>
      <c r="O39" s="193">
        <f>IF(M39="Not Met","Needs compliance",IF(M39="Not Tested","Not yet tested",""))</f>
        <v/>
      </c>
      <c r="P39" s="166" t="n"/>
      <c r="T39" s="124" t="inlineStr">
        <is>
          <t>Sub</t>
        </is>
      </c>
      <c r="U39" s="124">
        <f>IF(M39="Not Met","("&amp;2&amp;") "&amp;IF(H39="Yes","★ ","")&amp;C39,"")</f>
        <v/>
      </c>
    </row>
    <row r="40" ht="29" customHeight="1" s="125">
      <c r="A40" s="193" t="inlineStr">
        <is>
          <t>L3-07.3</t>
        </is>
      </c>
      <c r="B40" s="194" t="inlineStr">
        <is>
          <t>↳ sub-item</t>
        </is>
      </c>
      <c r="C40" s="193" t="inlineStr">
        <is>
          <t>Outgoing — government referring facility match</t>
        </is>
      </c>
      <c r="D40" s="195" t="inlineStr">
        <is>
          <t>(part of L3-07)</t>
        </is>
      </c>
      <c r="E40" s="196" t="n"/>
      <c r="F40" s="196" t="n"/>
      <c r="G40" s="196" t="n"/>
      <c r="H40" s="196" t="n"/>
      <c r="I40" s="196" t="n"/>
      <c r="J40" s="196" t="n"/>
      <c r="K40" s="196" t="n"/>
      <c r="L40" s="196" t="n"/>
      <c r="M40" s="197" t="inlineStr">
        <is>
          <t>Not Tested</t>
        </is>
      </c>
      <c r="N40" s="196" t="n"/>
      <c r="O40" s="193">
        <f>IF(M40="Not Met","Needs compliance",IF(M40="Not Tested","Not yet tested",""))</f>
        <v/>
      </c>
      <c r="P40" s="166" t="n"/>
      <c r="T40" s="124" t="inlineStr">
        <is>
          <t>Sub</t>
        </is>
      </c>
      <c r="U40" s="124">
        <f>IF(M40="Not Met","("&amp;3&amp;") "&amp;IF(H40="Yes","★ ","")&amp;C40,"")</f>
        <v/>
      </c>
    </row>
    <row r="41" ht="29" customHeight="1" s="125">
      <c r="A41" s="193" t="inlineStr">
        <is>
          <t>L3-07.4</t>
        </is>
      </c>
      <c r="B41" s="194" t="inlineStr">
        <is>
          <t>↳ sub-item</t>
        </is>
      </c>
      <c r="C41" s="193" t="inlineStr">
        <is>
          <t>Outgoing — private referring facility match</t>
        </is>
      </c>
      <c r="D41" s="195" t="inlineStr">
        <is>
          <t>(part of L3-07)</t>
        </is>
      </c>
      <c r="E41" s="196" t="n"/>
      <c r="F41" s="196" t="n"/>
      <c r="G41" s="196" t="n"/>
      <c r="H41" s="196" t="n"/>
      <c r="I41" s="196" t="n"/>
      <c r="J41" s="196" t="n"/>
      <c r="K41" s="196" t="n"/>
      <c r="L41" s="196" t="n"/>
      <c r="M41" s="197" t="inlineStr">
        <is>
          <t>Not Tested</t>
        </is>
      </c>
      <c r="N41" s="196" t="n"/>
      <c r="O41" s="193">
        <f>IF(M41="Not Met","Needs compliance",IF(M41="Not Tested","Not yet tested",""))</f>
        <v/>
      </c>
      <c r="P41" s="166" t="n"/>
      <c r="T41" s="124" t="inlineStr">
        <is>
          <t>Sub</t>
        </is>
      </c>
      <c r="U41" s="124">
        <f>IF(M41="Not Met","("&amp;4&amp;") "&amp;IF(H41="Yes","★ ","")&amp;C41,"")</f>
        <v/>
      </c>
    </row>
    <row r="42" ht="85" customHeight="1" s="125">
      <c r="A42" s="172" t="inlineStr">
        <is>
          <t>L3-08</t>
        </is>
      </c>
      <c r="B42" s="172" t="inlineStr">
        <is>
          <t>Aggregated Data</t>
        </is>
      </c>
      <c r="C42" s="172" t="inlineStr">
        <is>
          <t>Counts by service capability (RHU / Infirmary / Level 1 / Level 2 / Level 3) match</t>
        </is>
      </c>
      <c r="D42" s="172" t="inlineStr">
        <is>
          <t xml:space="preserve">Count referrals by service capability of the receiving facility (RHU to Level 3).
Purpose: Shows which levels of care receive referrals.
</t>
        </is>
      </c>
      <c r="E42" s="172" t="inlineStr">
        <is>
          <t xml:space="preserve">Count the 5 capability values that show MATCH in Test Data.
Mark each sub-item (↳) below; Achieved is counted automatically.
Calculation rule: IND-07.
</t>
        </is>
      </c>
      <c r="F42" s="172" t="inlineStr">
        <is>
          <t>Report screenshot + Test Data</t>
        </is>
      </c>
      <c r="G42" s="172" t="inlineStr">
        <is>
          <t>Validator</t>
        </is>
      </c>
      <c r="H42" s="172" t="inlineStr">
        <is>
          <t>No</t>
        </is>
      </c>
      <c r="I42" s="172" t="n">
        <v>1</v>
      </c>
      <c r="J42" s="172" t="inlineStr">
        <is>
          <t>Count</t>
        </is>
      </c>
      <c r="K42" s="192">
        <f>COUNTA(A43:A47)-COUNTIF(M43:M47,"N/A")</f>
        <v/>
      </c>
      <c r="L42" s="192">
        <f>COUNTIF(M43:M47,"Met")</f>
        <v/>
      </c>
      <c r="M42" s="192">
        <f>IF(COUNTIF(M43:M47,"N/A")=COUNTA(A43:A47),"N/A",IF(COUNTIF(M43:M47,"Not Tested")&gt;0,"Not Tested","Counted"))</f>
        <v/>
      </c>
      <c r="N42" s="191">
        <f>IF(M42="N/A",IF(H42="Yes",0,""),IF(M42="Not Tested",0,IF(J42="Tier",IF(M42="Fully integrated",1,IF(M42="Standalone - manual encoding",0.5,0)),IF(J42="Binary",IF(M42="Met",1,0),IF(M42="Counted",IF(N(K42)&gt;0,IF(J42="All-or-nothing",IF(N(L42)&gt;=K42,1,0),MIN(N(L42)/K42,1)),0),0)))))</f>
        <v/>
      </c>
      <c r="O42" s="172">
        <f>IF(COUNTIF(M43:M47,"Not Met")&gt;0,COUNTIF(M43:M47,"Not Met")&amp;" of "&amp;K42&amp;" need compliance: "&amp;_xlfn.TEXTJOIN("; ",TRUE(),U43:U47),IF(COUNTIF(M43:M47,"Not Tested")&gt;0,COUNTIF(M43:M47,"Not Tested")&amp;" of "&amp;COUNTA(A43:A47)&amp;" not yet tested",IF(M42="N/A","","All compliant")))</f>
        <v/>
      </c>
      <c r="P42" s="173" t="n"/>
      <c r="Q42" s="175">
        <f>IF(N42="",0,I42)</f>
        <v/>
      </c>
      <c r="R42" s="175">
        <f>IF(N42="",0,I42*N42)</f>
        <v/>
      </c>
      <c r="S42" s="175">
        <f>IF(OR(AND(H42="Yes",M42&lt;&gt;"Not Tested",N42&lt;&gt;"",N42&lt;1),COUNTIFS(H43:H47,"Yes",M43:M47,"Not Met")+COUNTIFS(H43:H47,"Yes",M43:M47,"N/A")&gt;0),1,0)</f>
        <v/>
      </c>
      <c r="T42" s="175" t="inlineStr">
        <is>
          <t>Criterion</t>
        </is>
      </c>
      <c r="U42" s="175" t="n"/>
      <c r="V42" s="175">
        <f>COUNTA(A43:A47)-COUNTIF(M43:M47,"Not Tested")</f>
        <v/>
      </c>
      <c r="W42" s="175">
        <f>IF(AND(T42="Criterion",I42&gt;0,M42&lt;&gt;"Not Tested",N42&lt;&gt;"",OR(N(N42)&lt;1,S42=1)),A42,"")</f>
        <v/>
      </c>
    </row>
    <row r="43" ht="15.5" customHeight="1" s="125">
      <c r="A43" s="193" t="inlineStr">
        <is>
          <t>L3-08.1</t>
        </is>
      </c>
      <c r="B43" s="194" t="inlineStr">
        <is>
          <t>↳ sub-item</t>
        </is>
      </c>
      <c r="C43" s="193" t="inlineStr">
        <is>
          <t>Receiving capability RHU matches</t>
        </is>
      </c>
      <c r="D43" s="195" t="inlineStr">
        <is>
          <t>(part of L3-08)</t>
        </is>
      </c>
      <c r="E43" s="196" t="n"/>
      <c r="F43" s="196" t="n"/>
      <c r="G43" s="196" t="n"/>
      <c r="H43" s="196" t="n"/>
      <c r="I43" s="196" t="n"/>
      <c r="J43" s="196" t="n"/>
      <c r="K43" s="196" t="n"/>
      <c r="L43" s="196" t="n"/>
      <c r="M43" s="197" t="inlineStr">
        <is>
          <t>Not Tested</t>
        </is>
      </c>
      <c r="N43" s="196" t="n"/>
      <c r="O43" s="193">
        <f>IF(M43="Not Met","Needs compliance",IF(M43="Not Tested","Not yet tested",""))</f>
        <v/>
      </c>
      <c r="P43" s="166" t="n"/>
      <c r="T43" s="124" t="inlineStr">
        <is>
          <t>Sub</t>
        </is>
      </c>
      <c r="U43" s="124">
        <f>IF(M43="Not Met","("&amp;1&amp;") "&amp;IF(H43="Yes","★ ","")&amp;C43,"")</f>
        <v/>
      </c>
    </row>
    <row r="44" ht="15.5" customHeight="1" s="125">
      <c r="A44" s="193" t="inlineStr">
        <is>
          <t>L3-08.2</t>
        </is>
      </c>
      <c r="B44" s="194" t="inlineStr">
        <is>
          <t>↳ sub-item</t>
        </is>
      </c>
      <c r="C44" s="193" t="inlineStr">
        <is>
          <t>Receiving capability Infirmary matches</t>
        </is>
      </c>
      <c r="D44" s="195" t="inlineStr">
        <is>
          <t>(part of L3-08)</t>
        </is>
      </c>
      <c r="E44" s="196" t="n"/>
      <c r="F44" s="196" t="n"/>
      <c r="G44" s="196" t="n"/>
      <c r="H44" s="196" t="n"/>
      <c r="I44" s="196" t="n"/>
      <c r="J44" s="196" t="n"/>
      <c r="K44" s="196" t="n"/>
      <c r="L44" s="196" t="n"/>
      <c r="M44" s="197" t="inlineStr">
        <is>
          <t>Not Tested</t>
        </is>
      </c>
      <c r="N44" s="196" t="n"/>
      <c r="O44" s="193">
        <f>IF(M44="Not Met","Needs compliance",IF(M44="Not Tested","Not yet tested",""))</f>
        <v/>
      </c>
      <c r="P44" s="166" t="n"/>
      <c r="T44" s="124" t="inlineStr">
        <is>
          <t>Sub</t>
        </is>
      </c>
      <c r="U44" s="124">
        <f>IF(M44="Not Met","("&amp;2&amp;") "&amp;IF(H44="Yes","★ ","")&amp;C44,"")</f>
        <v/>
      </c>
    </row>
    <row r="45" ht="15.5" customHeight="1" s="125">
      <c r="A45" s="193" t="inlineStr">
        <is>
          <t>L3-08.3</t>
        </is>
      </c>
      <c r="B45" s="194" t="inlineStr">
        <is>
          <t>↳ sub-item</t>
        </is>
      </c>
      <c r="C45" s="193" t="inlineStr">
        <is>
          <t>Receiving capability Level 1 matches</t>
        </is>
      </c>
      <c r="D45" s="195" t="inlineStr">
        <is>
          <t>(part of L3-08)</t>
        </is>
      </c>
      <c r="E45" s="196" t="n"/>
      <c r="F45" s="196" t="n"/>
      <c r="G45" s="196" t="n"/>
      <c r="H45" s="196" t="n"/>
      <c r="I45" s="196" t="n"/>
      <c r="J45" s="196" t="n"/>
      <c r="K45" s="196" t="n"/>
      <c r="L45" s="196" t="n"/>
      <c r="M45" s="197" t="inlineStr">
        <is>
          <t>Not Tested</t>
        </is>
      </c>
      <c r="N45" s="196" t="n"/>
      <c r="O45" s="193">
        <f>IF(M45="Not Met","Needs compliance",IF(M45="Not Tested","Not yet tested",""))</f>
        <v/>
      </c>
      <c r="P45" s="166" t="n"/>
      <c r="T45" s="124" t="inlineStr">
        <is>
          <t>Sub</t>
        </is>
      </c>
      <c r="U45" s="124">
        <f>IF(M45="Not Met","("&amp;3&amp;") "&amp;IF(H45="Yes","★ ","")&amp;C45,"")</f>
        <v/>
      </c>
    </row>
    <row r="46" ht="15.5" customHeight="1" s="125">
      <c r="A46" s="193" t="inlineStr">
        <is>
          <t>L3-08.4</t>
        </is>
      </c>
      <c r="B46" s="194" t="inlineStr">
        <is>
          <t>↳ sub-item</t>
        </is>
      </c>
      <c r="C46" s="193" t="inlineStr">
        <is>
          <t>Receiving capability Level 2 matches</t>
        </is>
      </c>
      <c r="D46" s="195" t="inlineStr">
        <is>
          <t>(part of L3-08)</t>
        </is>
      </c>
      <c r="E46" s="196" t="n"/>
      <c r="F46" s="196" t="n"/>
      <c r="G46" s="196" t="n"/>
      <c r="H46" s="196" t="n"/>
      <c r="I46" s="196" t="n"/>
      <c r="J46" s="196" t="n"/>
      <c r="K46" s="196" t="n"/>
      <c r="L46" s="196" t="n"/>
      <c r="M46" s="197" t="inlineStr">
        <is>
          <t>Not Tested</t>
        </is>
      </c>
      <c r="N46" s="196" t="n"/>
      <c r="O46" s="193">
        <f>IF(M46="Not Met","Needs compliance",IF(M46="Not Tested","Not yet tested",""))</f>
        <v/>
      </c>
      <c r="P46" s="166" t="n"/>
      <c r="T46" s="124" t="inlineStr">
        <is>
          <t>Sub</t>
        </is>
      </c>
      <c r="U46" s="124">
        <f>IF(M46="Not Met","("&amp;4&amp;") "&amp;IF(H46="Yes","★ ","")&amp;C46,"")</f>
        <v/>
      </c>
    </row>
    <row r="47" ht="15.5" customHeight="1" s="125">
      <c r="A47" s="193" t="inlineStr">
        <is>
          <t>L3-08.5</t>
        </is>
      </c>
      <c r="B47" s="194" t="inlineStr">
        <is>
          <t>↳ sub-item</t>
        </is>
      </c>
      <c r="C47" s="193" t="inlineStr">
        <is>
          <t>Receiving capability Level 3 matches</t>
        </is>
      </c>
      <c r="D47" s="195" t="inlineStr">
        <is>
          <t>(part of L3-08)</t>
        </is>
      </c>
      <c r="E47" s="196" t="n"/>
      <c r="F47" s="196" t="n"/>
      <c r="G47" s="196" t="n"/>
      <c r="H47" s="196" t="n"/>
      <c r="I47" s="196" t="n"/>
      <c r="J47" s="196" t="n"/>
      <c r="K47" s="196" t="n"/>
      <c r="L47" s="196" t="n"/>
      <c r="M47" s="197" t="inlineStr">
        <is>
          <t>Not Tested</t>
        </is>
      </c>
      <c r="N47" s="196" t="n"/>
      <c r="O47" s="193">
        <f>IF(M47="Not Met","Needs compliance",IF(M47="Not Tested","Not yet tested",""))</f>
        <v/>
      </c>
      <c r="P47" s="166" t="n"/>
      <c r="T47" s="124" t="inlineStr">
        <is>
          <t>Sub</t>
        </is>
      </c>
      <c r="U47" s="124">
        <f>IF(M47="Not Met","("&amp;5&amp;") "&amp;IF(H47="Yes","★ ","")&amp;C47,"")</f>
        <v/>
      </c>
    </row>
    <row r="48" ht="85" customHeight="1" s="125">
      <c r="A48" s="172" t="inlineStr">
        <is>
          <t>L3-09</t>
        </is>
      </c>
      <c r="B48" s="172" t="inlineStr">
        <is>
          <t>Aggregated Data</t>
        </is>
      </c>
      <c r="C48" s="172" t="inlineStr">
        <is>
          <t>Average turnaround time (TAT = date/time received − date/time referred) matches the expected value (±1 minute)</t>
        </is>
      </c>
      <c r="D48" s="172" t="inlineStr">
        <is>
          <t xml:space="preserve">Compute turnaround time from the recorded date/time referred and date/time received.
Purpose: TAT is a key performance measure for referral.
</t>
        </is>
      </c>
      <c r="E48" s="172" t="inlineStr">
        <is>
          <t xml:space="preserve">Compare the system value with the Expected TAT in Test Data. Met if MATCH.
Calculation rule: IND-08.
</t>
        </is>
      </c>
      <c r="F48" s="172" t="inlineStr">
        <is>
          <t>Aggregated report / data + Test Data</t>
        </is>
      </c>
      <c r="G48" s="172" t="inlineStr">
        <is>
          <t>Validator</t>
        </is>
      </c>
      <c r="H48" s="172" t="inlineStr">
        <is>
          <t>No</t>
        </is>
      </c>
      <c r="I48" s="172" t="n">
        <v>1</v>
      </c>
      <c r="J48" s="172" t="inlineStr">
        <is>
          <t>Binary</t>
        </is>
      </c>
      <c r="K48" s="192" t="n"/>
      <c r="L48" s="192" t="n"/>
      <c r="M48" s="192" t="inlineStr">
        <is>
          <t>Not Tested</t>
        </is>
      </c>
      <c r="N48" s="191">
        <f>IF(M48="N/A",IF(H48="Yes",0,""),IF(M48="Not Tested",0,IF(J48="Tier",IF(M48="Fully integrated",1,IF(M48="Standalone - manual encoding",0.5,0)),IF(J48="Binary",IF(M48="Met",1,0),IF(M48="Counted",IF(N(K48)&gt;0,IF(J48="All-or-nothing",IF(N(L48)&gt;=K48,1,0),MIN(N(L48)/K48,1)),0),0)))))</f>
        <v/>
      </c>
      <c r="O48" s="172">
        <f>IF(M48="Not Met","Needs compliance",IF(M48="Not Tested","Not yet tested",""))</f>
        <v/>
      </c>
      <c r="P48" s="173" t="n"/>
      <c r="Q48" s="175">
        <f>IF(N48="",0,I48)</f>
        <v/>
      </c>
      <c r="R48" s="175">
        <f>IF(N48="",0,I48*N48)</f>
        <v/>
      </c>
      <c r="S48" s="175">
        <f>IF(AND(H48="Yes",M48&lt;&gt;"Not Tested",N48&lt;&gt;"",N48&lt;1),1,0)</f>
        <v/>
      </c>
      <c r="T48" s="175" t="inlineStr">
        <is>
          <t>Criterion</t>
        </is>
      </c>
      <c r="U48" s="175" t="n"/>
      <c r="V48" s="175" t="n"/>
      <c r="W48" s="175">
        <f>IF(AND(T48="Criterion",I48&gt;0,M48&lt;&gt;"Not Tested",N48&lt;&gt;"",OR(N(N48)&lt;1,S48=1)),A48,"")</f>
        <v/>
      </c>
    </row>
    <row r="49" ht="85" customHeight="1" s="125">
      <c r="A49" s="172" t="inlineStr">
        <is>
          <t>L3-10</t>
        </is>
      </c>
      <c r="B49" s="172" t="inlineStr">
        <is>
          <t>Aggregated Data</t>
        </is>
      </c>
      <c r="C49" s="172" t="inlineStr">
        <is>
          <t>Linelist reconciles with the aggregate counts (same totals in both) (from DOH draft)</t>
        </is>
      </c>
      <c r="D49" s="172" t="inlineStr">
        <is>
          <t xml:space="preserve">Make the linelist and aggregate reports use the same data and filters.
Purpose: Detailed and summary reports tell the same story.
</t>
        </is>
      </c>
      <c r="E49" s="172" t="inlineStr">
        <is>
          <t xml:space="preserve">Add up the linelist by direction; Met only if it equals the aggregate report totals.
Calculation rule: IND-09.
</t>
        </is>
      </c>
      <c r="F49" s="172" t="inlineStr">
        <is>
          <t>Both reports</t>
        </is>
      </c>
      <c r="G49" s="172" t="inlineStr">
        <is>
          <t>Validator</t>
        </is>
      </c>
      <c r="H49" s="172" t="inlineStr">
        <is>
          <t>Yes</t>
        </is>
      </c>
      <c r="I49" s="172" t="n">
        <v>2</v>
      </c>
      <c r="J49" s="172" t="inlineStr">
        <is>
          <t>Binary</t>
        </is>
      </c>
      <c r="K49" s="192" t="n"/>
      <c r="L49" s="192" t="n"/>
      <c r="M49" s="192" t="inlineStr">
        <is>
          <t>Not Tested</t>
        </is>
      </c>
      <c r="N49" s="191">
        <f>IF(M49="N/A",IF(H49="Yes",0,""),IF(M49="Not Tested",0,IF(J49="Tier",IF(M49="Fully integrated",1,IF(M49="Standalone - manual encoding",0.5,0)),IF(J49="Binary",IF(M49="Met",1,0),IF(M49="Counted",IF(N(K49)&gt;0,IF(J49="All-or-nothing",IF(N(L49)&gt;=K49,1,0),MIN(N(L49)/K49,1)),0),0)))))</f>
        <v/>
      </c>
      <c r="O49" s="172">
        <f>IF(M49="Not Met","Needs compliance",IF(M49="Not Tested","Not yet tested",""))</f>
        <v/>
      </c>
      <c r="P49" s="173" t="n"/>
      <c r="Q49" s="175">
        <f>IF(N49="",0,I49)</f>
        <v/>
      </c>
      <c r="R49" s="175">
        <f>IF(N49="",0,I49*N49)</f>
        <v/>
      </c>
      <c r="S49" s="175">
        <f>IF(AND(H49="Yes",M49&lt;&gt;"Not Tested",N49&lt;&gt;"",N49&lt;1),1,0)</f>
        <v/>
      </c>
      <c r="T49" s="175" t="inlineStr">
        <is>
          <t>Criterion</t>
        </is>
      </c>
      <c r="U49" s="175" t="n"/>
      <c r="V49" s="175" t="n"/>
      <c r="W49" s="175">
        <f>IF(AND(T49="Criterion",I49&gt;0,M49&lt;&gt;"Not Tested",N49&lt;&gt;"",OR(N(N49)&lt;1,S49=1)),A49,"")</f>
        <v/>
      </c>
    </row>
    <row r="50" ht="98.5" customHeight="1" s="125">
      <c r="A50" s="172" t="inlineStr">
        <is>
          <t>L3-11</t>
        </is>
      </c>
      <c r="B50" s="172" t="inlineStr">
        <is>
          <t>Privacy</t>
        </is>
      </c>
      <c r="C50" s="172" t="inlineStr">
        <is>
          <t>Governance dashboard shows de-identified, aggregated data only (no patient names or IDs to dashboard viewers)</t>
        </is>
      </c>
      <c r="D50" s="172" t="inlineStr">
        <is>
          <t xml:space="preserve">Restrict dashboard viewers to de-identified, aggregated data — no names or IDs in views or exports.
Purpose: Monitoring does not expose individual patients.
</t>
        </is>
      </c>
      <c r="E50" s="172" t="inlineStr">
        <is>
          <t>Log in as dashboard viewer; Met if no patient-identifying data can be seen or exported.</t>
        </is>
      </c>
      <c r="F50" s="172" t="inlineStr">
        <is>
          <t>Dashboard screenshots</t>
        </is>
      </c>
      <c r="G50" s="172" t="inlineStr">
        <is>
          <t>Validator</t>
        </is>
      </c>
      <c r="H50" s="172" t="inlineStr">
        <is>
          <t>Yes</t>
        </is>
      </c>
      <c r="I50" s="172" t="n">
        <v>2</v>
      </c>
      <c r="J50" s="172" t="inlineStr">
        <is>
          <t>Binary</t>
        </is>
      </c>
      <c r="K50" s="192" t="n"/>
      <c r="L50" s="192" t="n"/>
      <c r="M50" s="192" t="inlineStr">
        <is>
          <t>Not Tested</t>
        </is>
      </c>
      <c r="N50" s="191">
        <f>IF(M50="N/A",IF(H50="Yes",0,""),IF(M50="Not Tested",0,IF(J50="Tier",IF(M50="Fully integrated",1,IF(M50="Standalone - manual encoding",0.5,0)),IF(J50="Binary",IF(M50="Met",1,0),IF(M50="Counted",IF(N(K50)&gt;0,IF(J50="All-or-nothing",IF(N(L50)&gt;=K50,1,0),MIN(N(L50)/K50,1)),0),0)))))</f>
        <v/>
      </c>
      <c r="O50" s="172">
        <f>IF(M50="Not Met","Needs compliance",IF(M50="Not Tested","Not yet tested",""))</f>
        <v/>
      </c>
      <c r="P50" s="173" t="n"/>
      <c r="Q50" s="175">
        <f>IF(N50="",0,I50)</f>
        <v/>
      </c>
      <c r="R50" s="175">
        <f>IF(N50="",0,I50*N50)</f>
        <v/>
      </c>
      <c r="S50" s="175">
        <f>IF(AND(H50="Yes",M50&lt;&gt;"Not Tested",N50&lt;&gt;"",N50&lt;1),1,0)</f>
        <v/>
      </c>
      <c r="T50" s="175" t="inlineStr">
        <is>
          <t>Criterion</t>
        </is>
      </c>
      <c r="U50" s="175" t="n"/>
      <c r="V50" s="175" t="n"/>
      <c r="W50" s="175">
        <f>IF(AND(T50="Criterion",I50&gt;0,M50&lt;&gt;"Not Tested",N50&lt;&gt;"",OR(N(N50)&lt;1,S50=1)),A50,"")</f>
        <v/>
      </c>
    </row>
    <row r="51" ht="112" customHeight="1" s="125">
      <c r="A51" s="172" t="inlineStr">
        <is>
          <t>L3-12</t>
        </is>
      </c>
      <c r="B51" s="172" t="inlineStr">
        <is>
          <t>Features</t>
        </is>
      </c>
      <c r="C51" s="172" t="inlineStr">
        <is>
          <t>New referral appears on the receiving facility's list without manual refresh — time limit deferred (for information)</t>
        </is>
      </c>
      <c r="D51" s="172" t="inlineStr">
        <is>
          <t xml:space="preserve">Refresh incoming referral lists automatically (polling, push or IOL notification — vendor's choice) without manual refresh. A time limit will be set after the consultant's recommendation.
Purpose: Staff see urgent referrals without pressing F5.
</t>
        </is>
      </c>
      <c r="E51" s="172" t="inlineStr">
        <is>
          <t>Submit a referral and observe whether it appears without refreshing; record the observed time in Notes (for information). Not scored until a time limit is set.</t>
        </is>
      </c>
      <c r="F51" s="172" t="inlineStr">
        <is>
          <t>Screen recording (optional)</t>
        </is>
      </c>
      <c r="G51" s="172" t="inlineStr">
        <is>
          <t>Validator</t>
        </is>
      </c>
      <c r="H51" s="172" t="inlineStr">
        <is>
          <t>No</t>
        </is>
      </c>
      <c r="I51" s="172" t="n">
        <v>0</v>
      </c>
      <c r="J51" s="172" t="inlineStr">
        <is>
          <t>Binary</t>
        </is>
      </c>
      <c r="K51" s="192" t="n"/>
      <c r="L51" s="192" t="n"/>
      <c r="M51" s="192" t="inlineStr">
        <is>
          <t>Not Tested</t>
        </is>
      </c>
      <c r="N51" s="191">
        <f>IF(M51="N/A",IF(H51="Yes",0,""),IF(M51="Not Tested",0,IF(J51="Tier",IF(M51="Fully integrated",1,IF(M51="Standalone - manual encoding",0.5,0)),IF(J51="Binary",IF(M51="Met",1,0),IF(M51="Counted",IF(N(K51)&gt;0,IF(J51="All-or-nothing",IF(N(L51)&gt;=K51,1,0),MIN(N(L51)/K51,1)),0),0)))))</f>
        <v/>
      </c>
      <c r="O51" s="172">
        <f>IF(M51="Not Met","Needs compliance",IF(M51="Not Tested","Not yet tested",""))</f>
        <v/>
      </c>
      <c r="P51" s="173" t="n"/>
      <c r="Q51" s="175">
        <f>IF(N51="",0,I51)</f>
        <v/>
      </c>
      <c r="R51" s="175">
        <f>IF(N51="",0,I51*N51)</f>
        <v/>
      </c>
      <c r="S51" s="175">
        <f>IF(AND(H51="Yes",M51&lt;&gt;"Not Tested",N51&lt;&gt;"",N51&lt;1),1,0)</f>
        <v/>
      </c>
      <c r="T51" s="175" t="inlineStr">
        <is>
          <t>Criterion</t>
        </is>
      </c>
      <c r="U51" s="175" t="n"/>
      <c r="V51" s="175" t="n"/>
      <c r="W51" s="175">
        <f>IF(AND(T51="Criterion",I51&gt;0,M51&lt;&gt;"Not Tested",N51&lt;&gt;"",OR(N(N51)&lt;1,S51=1)),A51,"")</f>
        <v/>
      </c>
    </row>
    <row r="52" ht="71.5" customHeight="1" s="125">
      <c r="A52" s="172" t="inlineStr">
        <is>
          <t>L3-13</t>
        </is>
      </c>
      <c r="B52" s="172" t="inlineStr">
        <is>
          <t>Features</t>
        </is>
      </c>
      <c r="C52" s="172" t="inlineStr">
        <is>
          <t>Pop-up or alert notification for each new incoming referral, without manual refresh (from DOH draft)</t>
        </is>
      </c>
      <c r="D52" s="172" t="inlineStr">
        <is>
          <t xml:space="preserve">Show an alert / pop-up for each new incoming referral.
Purpose: Staff are alerted immediately.
</t>
        </is>
      </c>
      <c r="E52" s="172" t="inlineStr">
        <is>
          <t xml:space="preserve">Submit 3 referrals; count the ones that trigger a notification automatically.
Mark each sub-item (↳) below; Achieved is counted automatically.
</t>
        </is>
      </c>
      <c r="F52" s="172" t="inlineStr">
        <is>
          <t>Screen recording / screenshots</t>
        </is>
      </c>
      <c r="G52" s="172" t="inlineStr">
        <is>
          <t>Validator</t>
        </is>
      </c>
      <c r="H52" s="172" t="inlineStr">
        <is>
          <t>No</t>
        </is>
      </c>
      <c r="I52" s="172" t="n">
        <v>2</v>
      </c>
      <c r="J52" s="172" t="inlineStr">
        <is>
          <t>Count</t>
        </is>
      </c>
      <c r="K52" s="192">
        <f>COUNTA(A53:A55)-COUNTIF(M53:M55,"N/A")</f>
        <v/>
      </c>
      <c r="L52" s="192">
        <f>COUNTIF(M53:M55,"Met")</f>
        <v/>
      </c>
      <c r="M52" s="192">
        <f>IF(COUNTIF(M53:M55,"N/A")=COUNTA(A53:A55),"N/A",IF(COUNTIF(M53:M55,"Not Tested")&gt;0,"Not Tested","Counted"))</f>
        <v/>
      </c>
      <c r="N52" s="191">
        <f>IF(M52="N/A",IF(H52="Yes",0,""),IF(M52="Not Tested",0,IF(J52="Tier",IF(M52="Fully integrated",1,IF(M52="Standalone - manual encoding",0.5,0)),IF(J52="Binary",IF(M52="Met",1,0),IF(M52="Counted",IF(N(K52)&gt;0,IF(J52="All-or-nothing",IF(N(L52)&gt;=K52,1,0),MIN(N(L52)/K52,1)),0),0)))))</f>
        <v/>
      </c>
      <c r="O52" s="172">
        <f>IF(COUNTIF(M53:M55,"Not Met")&gt;0,COUNTIF(M53:M55,"Not Met")&amp;" of "&amp;K52&amp;" need compliance: "&amp;_xlfn.TEXTJOIN("; ",TRUE(),U53:U55),IF(COUNTIF(M53:M55,"Not Tested")&gt;0,COUNTIF(M53:M55,"Not Tested")&amp;" of "&amp;COUNTA(A53:A55)&amp;" not yet tested",IF(M52="N/A","","All compliant")))</f>
        <v/>
      </c>
      <c r="P52" s="173" t="n"/>
      <c r="Q52" s="175">
        <f>IF(N52="",0,I52)</f>
        <v/>
      </c>
      <c r="R52" s="175">
        <f>IF(N52="",0,I52*N52)</f>
        <v/>
      </c>
      <c r="S52" s="175">
        <f>IF(OR(AND(H52="Yes",M52&lt;&gt;"Not Tested",N52&lt;&gt;"",N52&lt;1),COUNTIFS(H53:H55,"Yes",M53:M55,"Not Met")+COUNTIFS(H53:H55,"Yes",M53:M55,"N/A")&gt;0),1,0)</f>
        <v/>
      </c>
      <c r="T52" s="175" t="inlineStr">
        <is>
          <t>Criterion</t>
        </is>
      </c>
      <c r="U52" s="175" t="n"/>
      <c r="V52" s="175">
        <f>COUNTA(A53:A55)-COUNTIF(M53:M55,"Not Tested")</f>
        <v/>
      </c>
      <c r="W52" s="175">
        <f>IF(AND(T52="Criterion",I52&gt;0,M52&lt;&gt;"Not Tested",N52&lt;&gt;"",OR(N(N52)&lt;1,S52=1)),A52,"")</f>
        <v/>
      </c>
    </row>
    <row r="53" ht="29" customHeight="1" s="125">
      <c r="A53" s="193" t="inlineStr">
        <is>
          <t>L3-13.1</t>
        </is>
      </c>
      <c r="B53" s="194" t="inlineStr">
        <is>
          <t>↳ sub-item</t>
        </is>
      </c>
      <c r="C53" s="193" t="inlineStr">
        <is>
          <t>Test referral #1 triggered an alert automatically</t>
        </is>
      </c>
      <c r="D53" s="195" t="inlineStr">
        <is>
          <t>(part of L3-13)</t>
        </is>
      </c>
      <c r="E53" s="196" t="n"/>
      <c r="F53" s="196" t="n"/>
      <c r="G53" s="196" t="n"/>
      <c r="H53" s="196" t="n"/>
      <c r="I53" s="196" t="n"/>
      <c r="J53" s="196" t="n"/>
      <c r="K53" s="196" t="n"/>
      <c r="L53" s="196" t="n"/>
      <c r="M53" s="197" t="inlineStr">
        <is>
          <t>Not Tested</t>
        </is>
      </c>
      <c r="N53" s="196" t="n"/>
      <c r="O53" s="193">
        <f>IF(M53="Not Met","Needs compliance",IF(M53="Not Tested","Not yet tested",""))</f>
        <v/>
      </c>
      <c r="P53" s="166" t="n"/>
      <c r="T53" s="124" t="inlineStr">
        <is>
          <t>Sub</t>
        </is>
      </c>
      <c r="U53" s="124">
        <f>IF(M53="Not Met","("&amp;1&amp;") "&amp;IF(H53="Yes","★ ","")&amp;C53,"")</f>
        <v/>
      </c>
    </row>
    <row r="54" ht="29" customHeight="1" s="125">
      <c r="A54" s="193" t="inlineStr">
        <is>
          <t>L3-13.2</t>
        </is>
      </c>
      <c r="B54" s="194" t="inlineStr">
        <is>
          <t>↳ sub-item</t>
        </is>
      </c>
      <c r="C54" s="193" t="inlineStr">
        <is>
          <t>Test referral #2 triggered an alert automatically</t>
        </is>
      </c>
      <c r="D54" s="195" t="inlineStr">
        <is>
          <t>(part of L3-13)</t>
        </is>
      </c>
      <c r="E54" s="196" t="n"/>
      <c r="F54" s="196" t="n"/>
      <c r="G54" s="196" t="n"/>
      <c r="H54" s="196" t="n"/>
      <c r="I54" s="196" t="n"/>
      <c r="J54" s="196" t="n"/>
      <c r="K54" s="196" t="n"/>
      <c r="L54" s="196" t="n"/>
      <c r="M54" s="197" t="inlineStr">
        <is>
          <t>Not Tested</t>
        </is>
      </c>
      <c r="N54" s="196" t="n"/>
      <c r="O54" s="193">
        <f>IF(M54="Not Met","Needs compliance",IF(M54="Not Tested","Not yet tested",""))</f>
        <v/>
      </c>
      <c r="P54" s="166" t="n"/>
      <c r="T54" s="124" t="inlineStr">
        <is>
          <t>Sub</t>
        </is>
      </c>
      <c r="U54" s="124">
        <f>IF(M54="Not Met","("&amp;2&amp;") "&amp;IF(H54="Yes","★ ","")&amp;C54,"")</f>
        <v/>
      </c>
    </row>
    <row r="55" ht="29" customHeight="1" s="125">
      <c r="A55" s="193" t="inlineStr">
        <is>
          <t>L3-13.3</t>
        </is>
      </c>
      <c r="B55" s="194" t="inlineStr">
        <is>
          <t>↳ sub-item</t>
        </is>
      </c>
      <c r="C55" s="193" t="inlineStr">
        <is>
          <t>Test referral #3 triggered an alert automatically</t>
        </is>
      </c>
      <c r="D55" s="195" t="inlineStr">
        <is>
          <t>(part of L3-13)</t>
        </is>
      </c>
      <c r="E55" s="196" t="n"/>
      <c r="F55" s="196" t="n"/>
      <c r="G55" s="196" t="n"/>
      <c r="H55" s="196" t="n"/>
      <c r="I55" s="196" t="n"/>
      <c r="J55" s="196" t="n"/>
      <c r="K55" s="196" t="n"/>
      <c r="L55" s="196" t="n"/>
      <c r="M55" s="197" t="inlineStr">
        <is>
          <t>Not Tested</t>
        </is>
      </c>
      <c r="N55" s="196" t="n"/>
      <c r="O55" s="193">
        <f>IF(M55="Not Met","Needs compliance",IF(M55="Not Tested","Not yet tested",""))</f>
        <v/>
      </c>
      <c r="P55" s="166" t="n"/>
      <c r="T55" s="124" t="inlineStr">
        <is>
          <t>Sub</t>
        </is>
      </c>
      <c r="U55" s="124">
        <f>IF(M55="Not Met","("&amp;3&amp;") "&amp;IF(H55="Yes","★ ","")&amp;C55,"")</f>
        <v/>
      </c>
    </row>
    <row r="56" ht="85" customHeight="1" s="125">
      <c r="A56" s="172" t="inlineStr">
        <is>
          <t>L3-14</t>
        </is>
      </c>
      <c r="B56" s="172" t="inlineStr">
        <is>
          <t>Features</t>
        </is>
      </c>
      <c r="C56" s="172" t="inlineStr">
        <is>
          <t>Reports can be exported (CSV or Excel)</t>
        </is>
      </c>
      <c r="D56" s="172" t="inlineStr">
        <is>
          <t xml:space="preserve">Provide export to CSV or Excel that matches the on-screen report.
Purpose: Data can be used for further analysis and submission.
</t>
        </is>
      </c>
      <c r="E56" s="172" t="inlineStr">
        <is>
          <t xml:space="preserve">Export the linelist; Met if the file opens and matches the screen.
Totals reconciliation of exports is checked in L3-21.
</t>
        </is>
      </c>
      <c r="F56" s="172" t="inlineStr">
        <is>
          <t>Exported file</t>
        </is>
      </c>
      <c r="G56" s="172" t="inlineStr">
        <is>
          <t>Validator</t>
        </is>
      </c>
      <c r="H56" s="172" t="inlineStr">
        <is>
          <t>No</t>
        </is>
      </c>
      <c r="I56" s="172" t="n">
        <v>1</v>
      </c>
      <c r="J56" s="172" t="inlineStr">
        <is>
          <t>Binary</t>
        </is>
      </c>
      <c r="K56" s="192" t="n"/>
      <c r="L56" s="192" t="n"/>
      <c r="M56" s="192" t="inlineStr">
        <is>
          <t>Not Tested</t>
        </is>
      </c>
      <c r="N56" s="191">
        <f>IF(M56="N/A",IF(H56="Yes",0,""),IF(M56="Not Tested",0,IF(J56="Tier",IF(M56="Fully integrated",1,IF(M56="Standalone - manual encoding",0.5,0)),IF(J56="Binary",IF(M56="Met",1,0),IF(M56="Counted",IF(N(K56)&gt;0,IF(J56="All-or-nothing",IF(N(L56)&gt;=K56,1,0),MIN(N(L56)/K56,1)),0),0)))))</f>
        <v/>
      </c>
      <c r="O56" s="172">
        <f>IF(M56="Not Met","Needs compliance",IF(M56="Not Tested","Not yet tested",""))</f>
        <v/>
      </c>
      <c r="P56" s="173" t="n"/>
      <c r="Q56" s="175">
        <f>IF(N56="",0,I56)</f>
        <v/>
      </c>
      <c r="R56" s="175">
        <f>IF(N56="",0,I56*N56)</f>
        <v/>
      </c>
      <c r="S56" s="175">
        <f>IF(AND(H56="Yes",M56&lt;&gt;"Not Tested",N56&lt;&gt;"",N56&lt;1),1,0)</f>
        <v/>
      </c>
      <c r="T56" s="175" t="inlineStr">
        <is>
          <t>Criterion</t>
        </is>
      </c>
      <c r="U56" s="175" t="n"/>
      <c r="V56" s="175" t="n"/>
      <c r="W56" s="175">
        <f>IF(AND(T56="Criterion",I56&gt;0,M56&lt;&gt;"Not Tested",N56&lt;&gt;"",OR(N(N56)&lt;1,S56=1)),A56,"")</f>
        <v/>
      </c>
    </row>
    <row r="57" ht="85" customHeight="1" s="125">
      <c r="A57" s="172" t="inlineStr">
        <is>
          <t>L3-15</t>
        </is>
      </c>
      <c r="B57" s="172" t="inlineStr">
        <is>
          <t>Features</t>
        </is>
      </c>
      <c r="C57" s="172" t="inlineStr">
        <is>
          <t>Reports can be disaggregated by (1) sex, (2) age group, (3) municipality (PSGC), (4) facility</t>
        </is>
      </c>
      <c r="D57" s="172" t="inlineStr">
        <is>
          <t xml:space="preserve">Allow filtering by sex, age group, municipality (PSGC) and facility.
Purpose: Supports equity analysis and LGU planning.
</t>
        </is>
      </c>
      <c r="E57" s="172" t="inlineStr">
        <is>
          <t xml:space="preserve">Count the disaggregations available.
Mark each sub-item (↳) below; Achieved is counted automatically.
</t>
        </is>
      </c>
      <c r="F57" s="172" t="inlineStr">
        <is>
          <t>Screenshots</t>
        </is>
      </c>
      <c r="G57" s="172" t="inlineStr">
        <is>
          <t>Validator</t>
        </is>
      </c>
      <c r="H57" s="172" t="inlineStr">
        <is>
          <t>No</t>
        </is>
      </c>
      <c r="I57" s="172" t="n">
        <v>1</v>
      </c>
      <c r="J57" s="172" t="inlineStr">
        <is>
          <t>Count</t>
        </is>
      </c>
      <c r="K57" s="192">
        <f>COUNTA(A58:A61)-COUNTIF(M58:M61,"N/A")</f>
        <v/>
      </c>
      <c r="L57" s="192">
        <f>COUNTIF(M58:M61,"Met")</f>
        <v/>
      </c>
      <c r="M57" s="192">
        <f>IF(COUNTIF(M58:M61,"N/A")=COUNTA(A58:A61),"N/A",IF(COUNTIF(M58:M61,"Not Tested")&gt;0,"Not Tested","Counted"))</f>
        <v/>
      </c>
      <c r="N57" s="191">
        <f>IF(M57="N/A",IF(H57="Yes",0,""),IF(M57="Not Tested",0,IF(J57="Tier",IF(M57="Fully integrated",1,IF(M57="Standalone - manual encoding",0.5,0)),IF(J57="Binary",IF(M57="Met",1,0),IF(M57="Counted",IF(N(K57)&gt;0,IF(J57="All-or-nothing",IF(N(L57)&gt;=K57,1,0),MIN(N(L57)/K57,1)),0),0)))))</f>
        <v/>
      </c>
      <c r="O57" s="172">
        <f>IF(COUNTIF(M58:M61,"Not Met")&gt;0,COUNTIF(M58:M61,"Not Met")&amp;" of "&amp;K57&amp;" need compliance: "&amp;_xlfn.TEXTJOIN("; ",TRUE(),U58:U61),IF(COUNTIF(M58:M61,"Not Tested")&gt;0,COUNTIF(M58:M61,"Not Tested")&amp;" of "&amp;COUNTA(A58:A61)&amp;" not yet tested",IF(M57="N/A","","All compliant")))</f>
        <v/>
      </c>
      <c r="P57" s="173" t="n"/>
      <c r="Q57" s="175">
        <f>IF(N57="",0,I57)</f>
        <v/>
      </c>
      <c r="R57" s="175">
        <f>IF(N57="",0,I57*N57)</f>
        <v/>
      </c>
      <c r="S57" s="175">
        <f>IF(OR(AND(H57="Yes",M57&lt;&gt;"Not Tested",N57&lt;&gt;"",N57&lt;1),COUNTIFS(H58:H61,"Yes",M58:M61,"Not Met")+COUNTIFS(H58:H61,"Yes",M58:M61,"N/A")&gt;0),1,0)</f>
        <v/>
      </c>
      <c r="T57" s="175" t="inlineStr">
        <is>
          <t>Criterion</t>
        </is>
      </c>
      <c r="U57" s="175" t="n"/>
      <c r="V57" s="175">
        <f>COUNTA(A58:A61)-COUNTIF(M58:M61,"Not Tested")</f>
        <v/>
      </c>
      <c r="W57" s="175">
        <f>IF(AND(T57="Criterion",I57&gt;0,M57&lt;&gt;"Not Tested",N57&lt;&gt;"",OR(N(N57)&lt;1,S57=1)),A57,"")</f>
        <v/>
      </c>
    </row>
    <row r="58" ht="15.5" customHeight="1" s="125">
      <c r="A58" s="193" t="inlineStr">
        <is>
          <t>L3-15.1</t>
        </is>
      </c>
      <c r="B58" s="194" t="inlineStr">
        <is>
          <t>↳ sub-item</t>
        </is>
      </c>
      <c r="C58" s="193" t="inlineStr">
        <is>
          <t>Sex</t>
        </is>
      </c>
      <c r="D58" s="195" t="inlineStr">
        <is>
          <t>(part of L3-15)</t>
        </is>
      </c>
      <c r="E58" s="196" t="n"/>
      <c r="F58" s="196" t="n"/>
      <c r="G58" s="196" t="n"/>
      <c r="H58" s="196" t="n"/>
      <c r="I58" s="196" t="n"/>
      <c r="J58" s="196" t="n"/>
      <c r="K58" s="196" t="n"/>
      <c r="L58" s="196" t="n"/>
      <c r="M58" s="197" t="inlineStr">
        <is>
          <t>Not Tested</t>
        </is>
      </c>
      <c r="N58" s="196" t="n"/>
      <c r="O58" s="193">
        <f>IF(M58="Not Met","Needs compliance",IF(M58="Not Tested","Not yet tested",""))</f>
        <v/>
      </c>
      <c r="P58" s="166" t="n"/>
      <c r="T58" s="124" t="inlineStr">
        <is>
          <t>Sub</t>
        </is>
      </c>
      <c r="U58" s="124">
        <f>IF(M58="Not Met","("&amp;1&amp;") "&amp;IF(H58="Yes","★ ","")&amp;C58,"")</f>
        <v/>
      </c>
    </row>
    <row r="59" ht="15.5" customHeight="1" s="125">
      <c r="A59" s="193" t="inlineStr">
        <is>
          <t>L3-15.2</t>
        </is>
      </c>
      <c r="B59" s="194" t="inlineStr">
        <is>
          <t>↳ sub-item</t>
        </is>
      </c>
      <c r="C59" s="193" t="inlineStr">
        <is>
          <t>Age group</t>
        </is>
      </c>
      <c r="D59" s="195" t="inlineStr">
        <is>
          <t>(part of L3-15)</t>
        </is>
      </c>
      <c r="E59" s="196" t="n"/>
      <c r="F59" s="196" t="n"/>
      <c r="G59" s="196" t="n"/>
      <c r="H59" s="196" t="n"/>
      <c r="I59" s="196" t="n"/>
      <c r="J59" s="196" t="n"/>
      <c r="K59" s="196" t="n"/>
      <c r="L59" s="196" t="n"/>
      <c r="M59" s="197" t="inlineStr">
        <is>
          <t>Not Tested</t>
        </is>
      </c>
      <c r="N59" s="196" t="n"/>
      <c r="O59" s="193">
        <f>IF(M59="Not Met","Needs compliance",IF(M59="Not Tested","Not yet tested",""))</f>
        <v/>
      </c>
      <c r="P59" s="166" t="n"/>
      <c r="T59" s="124" t="inlineStr">
        <is>
          <t>Sub</t>
        </is>
      </c>
      <c r="U59" s="124">
        <f>IF(M59="Not Met","("&amp;2&amp;") "&amp;IF(H59="Yes","★ ","")&amp;C59,"")</f>
        <v/>
      </c>
    </row>
    <row r="60" ht="15.5" customHeight="1" s="125">
      <c r="A60" s="193" t="inlineStr">
        <is>
          <t>L3-15.3</t>
        </is>
      </c>
      <c r="B60" s="194" t="inlineStr">
        <is>
          <t>↳ sub-item</t>
        </is>
      </c>
      <c r="C60" s="193" t="inlineStr">
        <is>
          <t>Municipality (PSGC)</t>
        </is>
      </c>
      <c r="D60" s="195" t="inlineStr">
        <is>
          <t>(part of L3-15)</t>
        </is>
      </c>
      <c r="E60" s="196" t="n"/>
      <c r="F60" s="196" t="n"/>
      <c r="G60" s="196" t="n"/>
      <c r="H60" s="196" t="n"/>
      <c r="I60" s="196" t="n"/>
      <c r="J60" s="196" t="n"/>
      <c r="K60" s="196" t="n"/>
      <c r="L60" s="196" t="n"/>
      <c r="M60" s="197" t="inlineStr">
        <is>
          <t>Not Tested</t>
        </is>
      </c>
      <c r="N60" s="196" t="n"/>
      <c r="O60" s="193">
        <f>IF(M60="Not Met","Needs compliance",IF(M60="Not Tested","Not yet tested",""))</f>
        <v/>
      </c>
      <c r="P60" s="166" t="n"/>
      <c r="T60" s="124" t="inlineStr">
        <is>
          <t>Sub</t>
        </is>
      </c>
      <c r="U60" s="124">
        <f>IF(M60="Not Met","("&amp;3&amp;") "&amp;IF(H60="Yes","★ ","")&amp;C60,"")</f>
        <v/>
      </c>
    </row>
    <row r="61" ht="15.5" customHeight="1" s="125">
      <c r="A61" s="193" t="inlineStr">
        <is>
          <t>L3-15.4</t>
        </is>
      </c>
      <c r="B61" s="194" t="inlineStr">
        <is>
          <t>↳ sub-item</t>
        </is>
      </c>
      <c r="C61" s="193" t="inlineStr">
        <is>
          <t>Facility</t>
        </is>
      </c>
      <c r="D61" s="195" t="inlineStr">
        <is>
          <t>(part of L3-15)</t>
        </is>
      </c>
      <c r="E61" s="196" t="n"/>
      <c r="F61" s="196" t="n"/>
      <c r="G61" s="196" t="n"/>
      <c r="H61" s="196" t="n"/>
      <c r="I61" s="196" t="n"/>
      <c r="J61" s="196" t="n"/>
      <c r="K61" s="196" t="n"/>
      <c r="L61" s="196" t="n"/>
      <c r="M61" s="197" t="inlineStr">
        <is>
          <t>Not Tested</t>
        </is>
      </c>
      <c r="N61" s="196" t="n"/>
      <c r="O61" s="193">
        <f>IF(M61="Not Met","Needs compliance",IF(M61="Not Tested","Not yet tested",""))</f>
        <v/>
      </c>
      <c r="P61" s="166" t="n"/>
      <c r="T61" s="124" t="inlineStr">
        <is>
          <t>Sub</t>
        </is>
      </c>
      <c r="U61" s="124">
        <f>IF(M61="Not Met","("&amp;4&amp;") "&amp;IF(H61="Yes","★ ","")&amp;C61,"")</f>
        <v/>
      </c>
    </row>
    <row r="62" ht="98.5" customHeight="1" s="125">
      <c r="A62" s="172" t="inlineStr">
        <is>
          <t>L3-16</t>
        </is>
      </c>
      <c r="B62" s="172" t="inlineStr">
        <is>
          <t>Aggregated Data</t>
        </is>
      </c>
      <c r="C62" s="172" t="inlineStr">
        <is>
          <t>Top morbidity (working impression) of referred cases is counted and ranked correctly</t>
        </is>
      </c>
      <c r="D62" s="172" t="inlineStr">
        <is>
          <t xml:space="preserve">Count and rank referrals by working impression / diagnosis (ICD-10 coded) for the selected period.
Purpose: Shows which conditions are driving referrals, for planning and capacity building.
</t>
        </is>
      </c>
      <c r="E62" s="172" t="inlineStr">
        <is>
          <t xml:space="preserve">Enter the system values in Test Data column C (rows "Morbidity rank 1–4"). Count the 4 morbidity values that show MATCH; the ranking must follow the counts.
Mark each sub-item (↳) below; Achieved is counted automatically.
Calculation rule: IND-10.
</t>
        </is>
      </c>
      <c r="F62" s="172" t="inlineStr">
        <is>
          <t>Report screenshot + Test Data</t>
        </is>
      </c>
      <c r="G62" s="172" t="inlineStr">
        <is>
          <t>Validator</t>
        </is>
      </c>
      <c r="H62" s="172" t="inlineStr">
        <is>
          <t>No</t>
        </is>
      </c>
      <c r="I62" s="172" t="n">
        <v>1</v>
      </c>
      <c r="J62" s="172" t="inlineStr">
        <is>
          <t>Count</t>
        </is>
      </c>
      <c r="K62" s="192">
        <f>COUNTA(A63:A66)-COUNTIF(M63:M66,"N/A")</f>
        <v/>
      </c>
      <c r="L62" s="192">
        <f>COUNTIF(M63:M66,"Met")</f>
        <v/>
      </c>
      <c r="M62" s="192">
        <f>IF(COUNTIF(M63:M66,"N/A")=COUNTA(A63:A66),"N/A",IF(COUNTIF(M63:M66,"Not Tested")&gt;0,"Not Tested","Counted"))</f>
        <v/>
      </c>
      <c r="N62" s="191">
        <f>IF(M62="N/A",IF(H62="Yes",0,""),IF(M62="Not Tested",0,IF(J62="Tier",IF(M62="Fully integrated",1,IF(M62="Standalone - manual encoding",0.5,0)),IF(J62="Binary",IF(M62="Met",1,0),IF(M62="Counted",IF(N(K62)&gt;0,IF(J62="All-or-nothing",IF(N(L62)&gt;=K62,1,0),MIN(N(L62)/K62,1)),0),0)))))</f>
        <v/>
      </c>
      <c r="O62" s="172">
        <f>IF(COUNTIF(M63:M66,"Not Met")&gt;0,COUNTIF(M63:M66,"Not Met")&amp;" of "&amp;K62&amp;" need compliance: "&amp;_xlfn.TEXTJOIN("; ",TRUE(),U63:U66),IF(COUNTIF(M63:M66,"Not Tested")&gt;0,COUNTIF(M63:M66,"Not Tested")&amp;" of "&amp;COUNTA(A63:A66)&amp;" not yet tested",IF(M62="N/A","","All compliant")))</f>
        <v/>
      </c>
      <c r="P62" s="173" t="n"/>
      <c r="Q62" s="175">
        <f>IF(N62="",0,I62)</f>
        <v/>
      </c>
      <c r="R62" s="175">
        <f>IF(N62="",0,I62*N62)</f>
        <v/>
      </c>
      <c r="S62" s="175">
        <f>IF(OR(AND(H62="Yes",M62&lt;&gt;"Not Tested",N62&lt;&gt;"",N62&lt;1),COUNTIFS(H63:H66,"Yes",M63:M66,"Not Met")+COUNTIFS(H63:H66,"Yes",M63:M66,"N/A")&gt;0),1,0)</f>
        <v/>
      </c>
      <c r="T62" s="175" t="inlineStr">
        <is>
          <t>Criterion</t>
        </is>
      </c>
      <c r="U62" s="175" t="n"/>
      <c r="V62" s="175">
        <f>COUNTA(A63:A66)-COUNTIF(M63:M66,"Not Tested")</f>
        <v/>
      </c>
      <c r="W62" s="175">
        <f>IF(AND(T62="Criterion",I62&gt;0,M62&lt;&gt;"Not Tested",N62&lt;&gt;"",OR(N(N62)&lt;1,S62=1)),A62,"")</f>
        <v/>
      </c>
    </row>
    <row r="63" ht="29" customHeight="1" s="125">
      <c r="A63" s="193" t="inlineStr">
        <is>
          <t>L3-16.1</t>
        </is>
      </c>
      <c r="B63" s="194" t="inlineStr">
        <is>
          <t>↳ sub-item</t>
        </is>
      </c>
      <c r="C63" s="193" t="inlineStr">
        <is>
          <t>Rank 1 — J18.9 Pneumonia, unspecified organism matches</t>
        </is>
      </c>
      <c r="D63" s="195" t="inlineStr">
        <is>
          <t>(part of L3-16)</t>
        </is>
      </c>
      <c r="E63" s="196" t="n"/>
      <c r="F63" s="196" t="n"/>
      <c r="G63" s="196" t="n"/>
      <c r="H63" s="196" t="n"/>
      <c r="I63" s="196" t="n"/>
      <c r="J63" s="196" t="n"/>
      <c r="K63" s="196" t="n"/>
      <c r="L63" s="196" t="n"/>
      <c r="M63" s="197" t="inlineStr">
        <is>
          <t>Not Tested</t>
        </is>
      </c>
      <c r="N63" s="196" t="n"/>
      <c r="O63" s="193">
        <f>IF(M63="Not Met","Needs compliance",IF(M63="Not Tested","Not yet tested",""))</f>
        <v/>
      </c>
      <c r="P63" s="166" t="n"/>
      <c r="T63" s="124" t="inlineStr">
        <is>
          <t>Sub</t>
        </is>
      </c>
      <c r="U63" s="124">
        <f>IF(M63="Not Met","("&amp;1&amp;") "&amp;IF(H63="Yes","★ ","")&amp;C63,"")</f>
        <v/>
      </c>
    </row>
    <row r="64" ht="29" customHeight="1" s="125">
      <c r="A64" s="193" t="inlineStr">
        <is>
          <t>L3-16.2</t>
        </is>
      </c>
      <c r="B64" s="194" t="inlineStr">
        <is>
          <t>↳ sub-item</t>
        </is>
      </c>
      <c r="C64" s="193" t="inlineStr">
        <is>
          <t>Rank 2 — O14.1 Severe pre-eclampsia matches</t>
        </is>
      </c>
      <c r="D64" s="195" t="inlineStr">
        <is>
          <t>(part of L3-16)</t>
        </is>
      </c>
      <c r="E64" s="196" t="n"/>
      <c r="F64" s="196" t="n"/>
      <c r="G64" s="196" t="n"/>
      <c r="H64" s="196" t="n"/>
      <c r="I64" s="196" t="n"/>
      <c r="J64" s="196" t="n"/>
      <c r="K64" s="196" t="n"/>
      <c r="L64" s="196" t="n"/>
      <c r="M64" s="197" t="inlineStr">
        <is>
          <t>Not Tested</t>
        </is>
      </c>
      <c r="N64" s="196" t="n"/>
      <c r="O64" s="193">
        <f>IF(M64="Not Met","Needs compliance",IF(M64="Not Tested","Not yet tested",""))</f>
        <v/>
      </c>
      <c r="P64" s="166" t="n"/>
      <c r="T64" s="124" t="inlineStr">
        <is>
          <t>Sub</t>
        </is>
      </c>
      <c r="U64" s="124">
        <f>IF(M64="Not Met","("&amp;2&amp;") "&amp;IF(H64="Yes","★ ","")&amp;C64,"")</f>
        <v/>
      </c>
    </row>
    <row r="65" ht="29" customHeight="1" s="125">
      <c r="A65" s="193" t="inlineStr">
        <is>
          <t>L3-16.3</t>
        </is>
      </c>
      <c r="B65" s="194" t="inlineStr">
        <is>
          <t>↳ sub-item</t>
        </is>
      </c>
      <c r="C65" s="193" t="inlineStr">
        <is>
          <t>Rank 3 — I10 Essential (primary) hypertension matches</t>
        </is>
      </c>
      <c r="D65" s="195" t="inlineStr">
        <is>
          <t>(part of L3-16)</t>
        </is>
      </c>
      <c r="E65" s="196" t="n"/>
      <c r="F65" s="196" t="n"/>
      <c r="G65" s="196" t="n"/>
      <c r="H65" s="196" t="n"/>
      <c r="I65" s="196" t="n"/>
      <c r="J65" s="196" t="n"/>
      <c r="K65" s="196" t="n"/>
      <c r="L65" s="196" t="n"/>
      <c r="M65" s="197" t="inlineStr">
        <is>
          <t>Not Tested</t>
        </is>
      </c>
      <c r="N65" s="196" t="n"/>
      <c r="O65" s="193">
        <f>IF(M65="Not Met","Needs compliance",IF(M65="Not Tested","Not yet tested",""))</f>
        <v/>
      </c>
      <c r="P65" s="166" t="n"/>
      <c r="T65" s="124" t="inlineStr">
        <is>
          <t>Sub</t>
        </is>
      </c>
      <c r="U65" s="124">
        <f>IF(M65="Not Met","("&amp;3&amp;") "&amp;IF(H65="Yes","★ ","")&amp;C65,"")</f>
        <v/>
      </c>
    </row>
    <row r="66" ht="29" customHeight="1" s="125">
      <c r="A66" s="193" t="inlineStr">
        <is>
          <t>L3-16.4</t>
        </is>
      </c>
      <c r="B66" s="194" t="inlineStr">
        <is>
          <t>↳ sub-item</t>
        </is>
      </c>
      <c r="C66" s="193" t="inlineStr">
        <is>
          <t>Rank 4 — A09 Infectious gastroenteritis and colitis matches</t>
        </is>
      </c>
      <c r="D66" s="195" t="inlineStr">
        <is>
          <t>(part of L3-16)</t>
        </is>
      </c>
      <c r="E66" s="196" t="n"/>
      <c r="F66" s="196" t="n"/>
      <c r="G66" s="196" t="n"/>
      <c r="H66" s="196" t="n"/>
      <c r="I66" s="196" t="n"/>
      <c r="J66" s="196" t="n"/>
      <c r="K66" s="196" t="n"/>
      <c r="L66" s="196" t="n"/>
      <c r="M66" s="197" t="inlineStr">
        <is>
          <t>Not Tested</t>
        </is>
      </c>
      <c r="N66" s="196" t="n"/>
      <c r="O66" s="193">
        <f>IF(M66="Not Met","Needs compliance",IF(M66="Not Tested","Not yet tested",""))</f>
        <v/>
      </c>
      <c r="P66" s="166" t="n"/>
      <c r="T66" s="124" t="inlineStr">
        <is>
          <t>Sub</t>
        </is>
      </c>
      <c r="U66" s="124">
        <f>IF(M66="Not Met","("&amp;4&amp;") "&amp;IF(H66="Yes","★ ","")&amp;C66,"")</f>
        <v/>
      </c>
    </row>
    <row r="67" ht="125.5" customHeight="1" s="125">
      <c r="A67" s="172" t="inlineStr">
        <is>
          <t>L3-17</t>
        </is>
      </c>
      <c r="B67" s="172" t="inlineStr">
        <is>
          <t>Edge cases</t>
        </is>
      </c>
      <c r="C67" s="172" t="inlineStr">
        <is>
          <t>Month boundary: referrals are assigned to the correct reporting period by the documented date rule (IND-01)</t>
        </is>
      </c>
      <c r="D67" s="172" t="inlineStr">
        <is>
          <t xml:space="preserve">Assign each referral to a period by the date/time referred (ServiceRequest.authoredOn) in Philippine Standard Time, as defined in IND-01.
Purpose: Monthly reports must not move referrals between months.
</t>
        </is>
      </c>
      <c r="E67" s="172" t="inlineStr">
        <is>
          <t xml:space="preserve">Retrieve the Section C referrals C1–C6 that the DOH pre-loaded on the SHR with fixed timestamps (Test Data Section C). Filter the linelist / counts by the Section C reporting month and by the following month. Compare with the Section C Expected Results. Calculation rule: IND-01 (Reference Guide, Ch. 6).
Mark each sub-item (↳) below; Achieved is counted automatically.
</t>
        </is>
      </c>
      <c r="F67" s="172" t="inlineStr">
        <is>
          <t>Report screenshots + Test Data Section C</t>
        </is>
      </c>
      <c r="G67" s="172" t="inlineStr">
        <is>
          <t>Validator</t>
        </is>
      </c>
      <c r="H67" s="172" t="inlineStr">
        <is>
          <t>No</t>
        </is>
      </c>
      <c r="I67" s="172" t="n">
        <v>1</v>
      </c>
      <c r="J67" s="172" t="inlineStr">
        <is>
          <t>Count</t>
        </is>
      </c>
      <c r="K67" s="192">
        <f>COUNTA(A68:A70)-COUNTIF(M68:M70,"N/A")</f>
        <v/>
      </c>
      <c r="L67" s="192">
        <f>COUNTIF(M68:M70,"Met")</f>
        <v/>
      </c>
      <c r="M67" s="192">
        <f>IF(COUNTIF(M68:M70,"N/A")=COUNTA(A68:A70),"N/A",IF(COUNTIF(M68:M70,"Not Tested")&gt;0,"Not Tested","Counted"))</f>
        <v/>
      </c>
      <c r="N67" s="191">
        <f>IF(M67="N/A",IF(H67="Yes",0,""),IF(M67="Not Tested",0,IF(J67="Tier",IF(M67="Fully integrated",1,IF(M67="Standalone - manual encoding",0.5,0)),IF(J67="Binary",IF(M67="Met",1,0),IF(M67="Counted",IF(N(K67)&gt;0,IF(J67="All-or-nothing",IF(N(L67)&gt;=K67,1,0),MIN(N(L67)/K67,1)),0),0)))))</f>
        <v/>
      </c>
      <c r="O67" s="172">
        <f>IF(COUNTIF(M68:M70,"Not Met")&gt;0,COUNTIF(M68:M70,"Not Met")&amp;" of "&amp;K67&amp;" need compliance: "&amp;_xlfn.TEXTJOIN("; ",TRUE(),U68:U70),IF(COUNTIF(M68:M70,"Not Tested")&gt;0,COUNTIF(M68:M70,"Not Tested")&amp;" of "&amp;COUNTA(A68:A70)&amp;" not yet tested",IF(M67="N/A","","All compliant")))</f>
        <v/>
      </c>
      <c r="P67" s="173" t="n"/>
      <c r="Q67" s="175">
        <f>IF(N67="",0,I67)</f>
        <v/>
      </c>
      <c r="R67" s="175">
        <f>IF(N67="",0,I67*N67)</f>
        <v/>
      </c>
      <c r="S67" s="175">
        <f>IF(OR(AND(H67="Yes",M67&lt;&gt;"Not Tested",N67&lt;&gt;"",N67&lt;1),COUNTIFS(H68:H70,"Yes",M68:M70,"Not Met")+COUNTIFS(H68:H70,"Yes",M68:M70,"N/A")&gt;0),1,0)</f>
        <v/>
      </c>
      <c r="T67" s="175" t="inlineStr">
        <is>
          <t>Criterion</t>
        </is>
      </c>
      <c r="U67" s="175" t="n"/>
      <c r="V67" s="175">
        <f>COUNTA(A68:A70)-COUNTIF(M68:M70,"Not Tested")</f>
        <v/>
      </c>
      <c r="W67" s="175">
        <f>IF(AND(T67="Criterion",I67&gt;0,M67&lt;&gt;"Not Tested",N67&lt;&gt;"",OR(N(N67)&lt;1,S67=1)),A67,"")</f>
        <v/>
      </c>
    </row>
    <row r="68" ht="42.5" customHeight="1" s="125">
      <c r="A68" s="193" t="inlineStr">
        <is>
          <t>L3-17.1</t>
        </is>
      </c>
      <c r="B68" s="194" t="inlineStr">
        <is>
          <t>↳ sub-item</t>
        </is>
      </c>
      <c r="C68" s="193" t="inlineStr">
        <is>
          <t>Referral C1 (23:50 last day of month, received after midnight) counted in the month referred</t>
        </is>
      </c>
      <c r="D68" s="195" t="inlineStr">
        <is>
          <t>(part of L3-17)</t>
        </is>
      </c>
      <c r="E68" s="196" t="n"/>
      <c r="F68" s="196" t="n"/>
      <c r="G68" s="196" t="n"/>
      <c r="H68" s="196" t="n"/>
      <c r="I68" s="196" t="n"/>
      <c r="J68" s="196" t="n"/>
      <c r="K68" s="196" t="n"/>
      <c r="L68" s="196" t="n"/>
      <c r="M68" s="197" t="inlineStr">
        <is>
          <t>Not Tested</t>
        </is>
      </c>
      <c r="N68" s="196" t="n"/>
      <c r="O68" s="193">
        <f>IF(M68="Not Met","Needs compliance",IF(M68="Not Tested","Not yet tested",""))</f>
        <v/>
      </c>
      <c r="P68" s="166" t="n"/>
      <c r="T68" s="124" t="inlineStr">
        <is>
          <t>Sub</t>
        </is>
      </c>
      <c r="U68" s="124">
        <f>IF(M68="Not Met","("&amp;1&amp;") "&amp;IF(H68="Yes","★ ","")&amp;C68,"")</f>
        <v/>
      </c>
    </row>
    <row r="69" ht="29" customHeight="1" s="125">
      <c r="A69" s="193" t="inlineStr">
        <is>
          <t>L3-17.2</t>
        </is>
      </c>
      <c r="B69" s="194" t="inlineStr">
        <is>
          <t>↳ sub-item</t>
        </is>
      </c>
      <c r="C69" s="193" t="inlineStr">
        <is>
          <t>Section C month total matches the expected value</t>
        </is>
      </c>
      <c r="D69" s="195" t="inlineStr">
        <is>
          <t>(part of L3-17)</t>
        </is>
      </c>
      <c r="E69" s="196" t="n"/>
      <c r="F69" s="196" t="n"/>
      <c r="G69" s="196" t="n"/>
      <c r="H69" s="196" t="n"/>
      <c r="I69" s="196" t="n"/>
      <c r="J69" s="196" t="n"/>
      <c r="K69" s="196" t="n"/>
      <c r="L69" s="196" t="n"/>
      <c r="M69" s="197" t="inlineStr">
        <is>
          <t>Not Tested</t>
        </is>
      </c>
      <c r="N69" s="196" t="n"/>
      <c r="O69" s="193">
        <f>IF(M69="Not Met","Needs compliance",IF(M69="Not Tested","Not yet tested",""))</f>
        <v/>
      </c>
      <c r="P69" s="166" t="n"/>
      <c r="T69" s="124" t="inlineStr">
        <is>
          <t>Sub</t>
        </is>
      </c>
      <c r="U69" s="124">
        <f>IF(M69="Not Met","("&amp;2&amp;") "&amp;IF(H69="Yes","★ ","")&amp;C69,"")</f>
        <v/>
      </c>
    </row>
    <row r="70" ht="29" customHeight="1" s="125">
      <c r="A70" s="193" t="inlineStr">
        <is>
          <t>L3-17.3</t>
        </is>
      </c>
      <c r="B70" s="194" t="inlineStr">
        <is>
          <t>↳ sub-item</t>
        </is>
      </c>
      <c r="C70" s="193" t="inlineStr">
        <is>
          <t>Following month shows only the referrals expected for it</t>
        </is>
      </c>
      <c r="D70" s="195" t="inlineStr">
        <is>
          <t>(part of L3-17)</t>
        </is>
      </c>
      <c r="E70" s="196" t="n"/>
      <c r="F70" s="196" t="n"/>
      <c r="G70" s="196" t="n"/>
      <c r="H70" s="196" t="n"/>
      <c r="I70" s="196" t="n"/>
      <c r="J70" s="196" t="n"/>
      <c r="K70" s="196" t="n"/>
      <c r="L70" s="196" t="n"/>
      <c r="M70" s="197" t="inlineStr">
        <is>
          <t>Not Tested</t>
        </is>
      </c>
      <c r="N70" s="196" t="n"/>
      <c r="O70" s="193">
        <f>IF(M70="Not Met","Needs compliance",IF(M70="Not Tested","Not yet tested",""))</f>
        <v/>
      </c>
      <c r="P70" s="166" t="n"/>
      <c r="T70" s="124" t="inlineStr">
        <is>
          <t>Sub</t>
        </is>
      </c>
      <c r="U70" s="124">
        <f>IF(M70="Not Met","("&amp;3&amp;") "&amp;IF(H70="Yes","★ ","")&amp;C70,"")</f>
        <v/>
      </c>
    </row>
    <row r="71" ht="112" customHeight="1" s="125">
      <c r="A71" s="172" t="inlineStr">
        <is>
          <t>L3-18</t>
        </is>
      </c>
      <c r="B71" s="172" t="inlineStr">
        <is>
          <t>Edge cases</t>
        </is>
      </c>
      <c r="C71" s="172" t="inlineStr">
        <is>
          <t>Duplicate and cancelled referrals are counted according to the indicator rules (IND-02, IND-03)</t>
        </is>
      </c>
      <c r="D71" s="172" t="inlineStr">
        <is>
          <t xml:space="preserve">Count each referral once by its identifier (IND-02) and exclude cancelled referrals from the active totals while showing them as cancelled (IND-03).
Purpose: The same referral sent twice, or one that was cancelled, must not inflate the figures.
</t>
        </is>
      </c>
      <c r="E71" s="172" t="inlineStr">
        <is>
          <t xml:space="preserve">C3 is a second copy of C2 with the same business identifier and C4 was cancelled by the referring side (both pre-loaded by the DOH). Compare the Section C totals with the Expected Results.
Mark each sub-item (↳) below; Achieved is counted automatically.
</t>
        </is>
      </c>
      <c r="F71" s="172" t="inlineStr">
        <is>
          <t>Report screenshots + Test Data Section C</t>
        </is>
      </c>
      <c r="G71" s="172" t="inlineStr">
        <is>
          <t>Validator</t>
        </is>
      </c>
      <c r="H71" s="172" t="inlineStr">
        <is>
          <t>No</t>
        </is>
      </c>
      <c r="I71" s="172" t="n">
        <v>2</v>
      </c>
      <c r="J71" s="172" t="inlineStr">
        <is>
          <t>Count</t>
        </is>
      </c>
      <c r="K71" s="192">
        <f>COUNTA(A72:A73)-COUNTIF(M72:M73,"N/A")</f>
        <v/>
      </c>
      <c r="L71" s="192">
        <f>COUNTIF(M72:M73,"Met")</f>
        <v/>
      </c>
      <c r="M71" s="192">
        <f>IF(COUNTIF(M72:M73,"N/A")=COUNTA(A72:A73),"N/A",IF(COUNTIF(M72:M73,"Not Tested")&gt;0,"Not Tested","Counted"))</f>
        <v/>
      </c>
      <c r="N71" s="191">
        <f>IF(M71="N/A",IF(H71="Yes",0,""),IF(M71="Not Tested",0,IF(J71="Tier",IF(M71="Fully integrated",1,IF(M71="Standalone - manual encoding",0.5,0)),IF(J71="Binary",IF(M71="Met",1,0),IF(M71="Counted",IF(N(K71)&gt;0,IF(J71="All-or-nothing",IF(N(L71)&gt;=K71,1,0),MIN(N(L71)/K71,1)),0),0)))))</f>
        <v/>
      </c>
      <c r="O71" s="172">
        <f>IF(COUNTIF(M72:M73,"Not Met")&gt;0,COUNTIF(M72:M73,"Not Met")&amp;" of "&amp;K71&amp;" need compliance: "&amp;_xlfn.TEXTJOIN("; ",TRUE(),U72:U73),IF(COUNTIF(M72:M73,"Not Tested")&gt;0,COUNTIF(M72:M73,"Not Tested")&amp;" of "&amp;COUNTA(A72:A73)&amp;" not yet tested",IF(M71="N/A","","All compliant")))</f>
        <v/>
      </c>
      <c r="P71" s="173" t="n"/>
      <c r="Q71" s="175">
        <f>IF(N71="",0,I71)</f>
        <v/>
      </c>
      <c r="R71" s="175">
        <f>IF(N71="",0,I71*N71)</f>
        <v/>
      </c>
      <c r="S71" s="175">
        <f>IF(OR(AND(H71="Yes",M71&lt;&gt;"Not Tested",N71&lt;&gt;"",N71&lt;1),COUNTIFS(H72:H73,"Yes",M72:M73,"Not Met")+COUNTIFS(H72:H73,"Yes",M72:M73,"N/A")&gt;0),1,0)</f>
        <v/>
      </c>
      <c r="T71" s="175" t="inlineStr">
        <is>
          <t>Criterion</t>
        </is>
      </c>
      <c r="U71" s="175" t="n"/>
      <c r="V71" s="175">
        <f>COUNTA(A72:A73)-COUNTIF(M72:M73,"Not Tested")</f>
        <v/>
      </c>
      <c r="W71" s="175">
        <f>IF(AND(T71="Criterion",I71&gt;0,M71&lt;&gt;"Not Tested",N71&lt;&gt;"",OR(N(N71)&lt;1,S71=1)),A71,"")</f>
        <v/>
      </c>
    </row>
    <row r="72" ht="15.5" customHeight="1" s="125">
      <c r="A72" s="193" t="inlineStr">
        <is>
          <t>L3-18.1</t>
        </is>
      </c>
      <c r="B72" s="194" t="inlineStr">
        <is>
          <t>↳ sub-item</t>
        </is>
      </c>
      <c r="C72" s="193" t="inlineStr">
        <is>
          <t>Duplicate C3 counted once (IND-02)</t>
        </is>
      </c>
      <c r="D72" s="195" t="inlineStr">
        <is>
          <t>(part of L3-18)</t>
        </is>
      </c>
      <c r="E72" s="196" t="n"/>
      <c r="F72" s="196" t="n"/>
      <c r="G72" s="196" t="n"/>
      <c r="H72" s="196" t="n"/>
      <c r="I72" s="196" t="n"/>
      <c r="J72" s="196" t="n"/>
      <c r="K72" s="196" t="n"/>
      <c r="L72" s="196" t="n"/>
      <c r="M72" s="197" t="inlineStr">
        <is>
          <t>Not Tested</t>
        </is>
      </c>
      <c r="N72" s="196" t="n"/>
      <c r="O72" s="193">
        <f>IF(M72="Not Met","Needs compliance",IF(M72="Not Tested","Not yet tested",""))</f>
        <v/>
      </c>
      <c r="P72" s="166" t="n"/>
      <c r="T72" s="124" t="inlineStr">
        <is>
          <t>Sub</t>
        </is>
      </c>
      <c r="U72" s="124">
        <f>IF(M72="Not Met","("&amp;1&amp;") "&amp;IF(H72="Yes","★ ","")&amp;C72,"")</f>
        <v/>
      </c>
    </row>
    <row r="73" ht="56" customHeight="1" s="125">
      <c r="A73" s="193" t="inlineStr">
        <is>
          <t>L3-18.2</t>
        </is>
      </c>
      <c r="B73" s="194" t="inlineStr">
        <is>
          <t>↳ sub-item</t>
        </is>
      </c>
      <c r="C73" s="193" t="inlineStr">
        <is>
          <t>Cancelled C4 excluded from active totals and shown as cancelled (IND-03; N/A if cancellation is not supported by the IG version)</t>
        </is>
      </c>
      <c r="D73" s="195" t="inlineStr">
        <is>
          <t>(part of L3-18)</t>
        </is>
      </c>
      <c r="E73" s="196" t="n"/>
      <c r="F73" s="196" t="n"/>
      <c r="G73" s="196" t="n"/>
      <c r="H73" s="196" t="n"/>
      <c r="I73" s="196" t="n"/>
      <c r="J73" s="196" t="n"/>
      <c r="K73" s="196" t="n"/>
      <c r="L73" s="196" t="n"/>
      <c r="M73" s="197" t="inlineStr">
        <is>
          <t>Not Tested</t>
        </is>
      </c>
      <c r="N73" s="196" t="n"/>
      <c r="O73" s="193">
        <f>IF(M73="Not Met","Needs compliance",IF(M73="Not Tested","Not yet tested",""))</f>
        <v/>
      </c>
      <c r="P73" s="166" t="n"/>
      <c r="T73" s="124" t="inlineStr">
        <is>
          <t>Sub</t>
        </is>
      </c>
      <c r="U73" s="124">
        <f>IF(M73="Not Met","("&amp;2&amp;") "&amp;IF(H73="Yes","★ ","")&amp;C73,"")</f>
        <v/>
      </c>
    </row>
    <row r="74" ht="98.5" customHeight="1" s="125">
      <c r="A74" s="172" t="inlineStr">
        <is>
          <t>L3-19</t>
        </is>
      </c>
      <c r="B74" s="172" t="inlineStr">
        <is>
          <t>Edge cases</t>
        </is>
      </c>
      <c r="C74" s="172" t="inlineStr">
        <is>
          <t>Late status changes are reflected when the report is re-run, and turnaround time uses the correct timestamps (IND-04, IND-08)</t>
        </is>
      </c>
      <c r="D74" s="172" t="inlineStr">
        <is>
          <t xml:space="preserve">Report the status as of the time the report is run (IND-04). Compute TAT from the first 'received' timestamp, not from later updates (IND-08).
Purpose: Reports must follow reality as referrals progress, not freeze at first status.
</t>
        </is>
      </c>
      <c r="E74" s="172" t="inlineStr">
        <is>
          <t xml:space="preserve">1. Run the report. 2. Change C5 from accepted to completed and C2 from received to rejected. 3. Re-run and compare with the Expected Results (after-update column).
Mark each sub-item (↳) below; Achieved is counted automatically.
</t>
        </is>
      </c>
      <c r="F74" s="172" t="inlineStr">
        <is>
          <t>Report screenshots before and after + Test Data Section C</t>
        </is>
      </c>
      <c r="G74" s="172" t="inlineStr">
        <is>
          <t>Validator</t>
        </is>
      </c>
      <c r="H74" s="172" t="inlineStr">
        <is>
          <t>No</t>
        </is>
      </c>
      <c r="I74" s="172" t="n">
        <v>1</v>
      </c>
      <c r="J74" s="172" t="inlineStr">
        <is>
          <t>Count</t>
        </is>
      </c>
      <c r="K74" s="192">
        <f>COUNTA(A75:A77)-COUNTIF(M75:M77,"N/A")</f>
        <v/>
      </c>
      <c r="L74" s="192">
        <f>COUNTIF(M75:M77,"Met")</f>
        <v/>
      </c>
      <c r="M74" s="192">
        <f>IF(COUNTIF(M75:M77,"N/A")=COUNTA(A75:A77),"N/A",IF(COUNTIF(M75:M77,"Not Tested")&gt;0,"Not Tested","Counted"))</f>
        <v/>
      </c>
      <c r="N74" s="191">
        <f>IF(M74="N/A",IF(H74="Yes",0,""),IF(M74="Not Tested",0,IF(J74="Tier",IF(M74="Fully integrated",1,IF(M74="Standalone - manual encoding",0.5,0)),IF(J74="Binary",IF(M74="Met",1,0),IF(M74="Counted",IF(N(K74)&gt;0,IF(J74="All-or-nothing",IF(N(L74)&gt;=K74,1,0),MIN(N(L74)/K74,1)),0),0)))))</f>
        <v/>
      </c>
      <c r="O74" s="172">
        <f>IF(COUNTIF(M75:M77,"Not Met")&gt;0,COUNTIF(M75:M77,"Not Met")&amp;" of "&amp;K74&amp;" need compliance: "&amp;_xlfn.TEXTJOIN("; ",TRUE(),U75:U77),IF(COUNTIF(M75:M77,"Not Tested")&gt;0,COUNTIF(M75:M77,"Not Tested")&amp;" of "&amp;COUNTA(A75:A77)&amp;" not yet tested",IF(M74="N/A","","All compliant")))</f>
        <v/>
      </c>
      <c r="P74" s="173" t="n"/>
      <c r="Q74" s="175">
        <f>IF(N74="",0,I74)</f>
        <v/>
      </c>
      <c r="R74" s="175">
        <f>IF(N74="",0,I74*N74)</f>
        <v/>
      </c>
      <c r="S74" s="175">
        <f>IF(OR(AND(H74="Yes",M74&lt;&gt;"Not Tested",N74&lt;&gt;"",N74&lt;1),COUNTIFS(H75:H77,"Yes",M75:M77,"Not Met")+COUNTIFS(H75:H77,"Yes",M75:M77,"N/A")&gt;0),1,0)</f>
        <v/>
      </c>
      <c r="T74" s="175" t="inlineStr">
        <is>
          <t>Criterion</t>
        </is>
      </c>
      <c r="U74" s="175" t="n"/>
      <c r="V74" s="175">
        <f>COUNTA(A75:A77)-COUNTIF(M75:M77,"Not Tested")</f>
        <v/>
      </c>
      <c r="W74" s="175">
        <f>IF(AND(T74="Criterion",I74&gt;0,M74&lt;&gt;"Not Tested",N74&lt;&gt;"",OR(N(N74)&lt;1,S74=1)),A74,"")</f>
        <v/>
      </c>
    </row>
    <row r="75" ht="29" customHeight="1" s="125">
      <c r="A75" s="193" t="inlineStr">
        <is>
          <t>L3-19.1</t>
        </is>
      </c>
      <c r="B75" s="194" t="inlineStr">
        <is>
          <t>↳ sub-item</t>
        </is>
      </c>
      <c r="C75" s="193" t="inlineStr">
        <is>
          <t>Re-run shows the new status counts after the late updates</t>
        </is>
      </c>
      <c r="D75" s="195" t="inlineStr">
        <is>
          <t>(part of L3-19)</t>
        </is>
      </c>
      <c r="E75" s="196" t="n"/>
      <c r="F75" s="196" t="n"/>
      <c r="G75" s="196" t="n"/>
      <c r="H75" s="196" t="n"/>
      <c r="I75" s="196" t="n"/>
      <c r="J75" s="196" t="n"/>
      <c r="K75" s="196" t="n"/>
      <c r="L75" s="196" t="n"/>
      <c r="M75" s="197" t="inlineStr">
        <is>
          <t>Not Tested</t>
        </is>
      </c>
      <c r="N75" s="196" t="n"/>
      <c r="O75" s="193">
        <f>IF(M75="Not Met","Needs compliance",IF(M75="Not Tested","Not yet tested",""))</f>
        <v/>
      </c>
      <c r="P75" s="166" t="n"/>
      <c r="T75" s="124" t="inlineStr">
        <is>
          <t>Sub</t>
        </is>
      </c>
      <c r="U75" s="124">
        <f>IF(M75="Not Met","("&amp;1&amp;") "&amp;IF(H75="Yes","★ ","")&amp;C75,"")</f>
        <v/>
      </c>
    </row>
    <row r="76" ht="29" customHeight="1" s="125">
      <c r="A76" s="193" t="inlineStr">
        <is>
          <t>L3-19.2</t>
        </is>
      </c>
      <c r="B76" s="194" t="inlineStr">
        <is>
          <t>↳ sub-item</t>
        </is>
      </c>
      <c r="C76" s="193" t="inlineStr">
        <is>
          <t>TAT of C2 unchanged by the later status update (uses first 'received')</t>
        </is>
      </c>
      <c r="D76" s="195" t="inlineStr">
        <is>
          <t>(part of L3-19)</t>
        </is>
      </c>
      <c r="E76" s="196" t="n"/>
      <c r="F76" s="196" t="n"/>
      <c r="G76" s="196" t="n"/>
      <c r="H76" s="196" t="n"/>
      <c r="I76" s="196" t="n"/>
      <c r="J76" s="196" t="n"/>
      <c r="K76" s="196" t="n"/>
      <c r="L76" s="196" t="n"/>
      <c r="M76" s="197" t="inlineStr">
        <is>
          <t>Not Tested</t>
        </is>
      </c>
      <c r="N76" s="196" t="n"/>
      <c r="O76" s="193">
        <f>IF(M76="Not Met","Needs compliance",IF(M76="Not Tested","Not yet tested",""))</f>
        <v/>
      </c>
      <c r="P76" s="166" t="n"/>
      <c r="T76" s="124" t="inlineStr">
        <is>
          <t>Sub</t>
        </is>
      </c>
      <c r="U76" s="124">
        <f>IF(M76="Not Met","("&amp;2&amp;") "&amp;IF(H76="Yes","★ ","")&amp;C76,"")</f>
        <v/>
      </c>
    </row>
    <row r="77" ht="29" customHeight="1" s="125">
      <c r="A77" s="193" t="inlineStr">
        <is>
          <t>L3-19.3</t>
        </is>
      </c>
      <c r="B77" s="194" t="inlineStr">
        <is>
          <t>↳ sub-item</t>
        </is>
      </c>
      <c r="C77" s="193" t="inlineStr">
        <is>
          <t>Completed count includes C5 after the update</t>
        </is>
      </c>
      <c r="D77" s="195" t="inlineStr">
        <is>
          <t>(part of L3-19)</t>
        </is>
      </c>
      <c r="E77" s="196" t="n"/>
      <c r="F77" s="196" t="n"/>
      <c r="G77" s="196" t="n"/>
      <c r="H77" s="196" t="n"/>
      <c r="I77" s="196" t="n"/>
      <c r="J77" s="196" t="n"/>
      <c r="K77" s="196" t="n"/>
      <c r="L77" s="196" t="n"/>
      <c r="M77" s="197" t="inlineStr">
        <is>
          <t>Not Tested</t>
        </is>
      </c>
      <c r="N77" s="196" t="n"/>
      <c r="O77" s="193">
        <f>IF(M77="Not Met","Needs compliance",IF(M77="Not Tested","Not yet tested",""))</f>
        <v/>
      </c>
      <c r="P77" s="166" t="n"/>
      <c r="T77" s="124" t="inlineStr">
        <is>
          <t>Sub</t>
        </is>
      </c>
      <c r="U77" s="124">
        <f>IF(M77="Not Met","("&amp;3&amp;") "&amp;IF(H77="Yes","★ ","")&amp;C77,"")</f>
        <v/>
      </c>
    </row>
    <row r="78" ht="85" customHeight="1" s="125">
      <c r="A78" s="172" t="inlineStr">
        <is>
          <t>L3-20</t>
        </is>
      </c>
      <c r="B78" s="172" t="inlineStr">
        <is>
          <t>Edge cases</t>
        </is>
      </c>
      <c r="C78" s="172" t="inlineStr">
        <is>
          <t>Combined filters return the expected counts</t>
        </is>
      </c>
      <c r="D78" s="172" t="inlineStr">
        <is>
          <t xml:space="preserve">Apply report filters together (AND logic) on the same data as the totals.
Purpose: Managers combine filters; each combination must be correct.
</t>
        </is>
      </c>
      <c r="E78" s="172" t="inlineStr">
        <is>
          <t xml:space="preserve">Apply each filter combination listed under the Section C Expected Results (combinations use Section B and Section C data as labelled) and compare.
Mark each sub-item (↳) below; Achieved is counted automatically.
</t>
        </is>
      </c>
      <c r="F78" s="172" t="inlineStr">
        <is>
          <t>Report screenshots + Test Data Section C</t>
        </is>
      </c>
      <c r="G78" s="172" t="inlineStr">
        <is>
          <t>Validator</t>
        </is>
      </c>
      <c r="H78" s="172" t="inlineStr">
        <is>
          <t>No</t>
        </is>
      </c>
      <c r="I78" s="172" t="n">
        <v>1</v>
      </c>
      <c r="J78" s="172" t="inlineStr">
        <is>
          <t>Count</t>
        </is>
      </c>
      <c r="K78" s="192">
        <f>COUNTA(A79:A81)-COUNTIF(M79:M81,"N/A")</f>
        <v/>
      </c>
      <c r="L78" s="192">
        <f>COUNTIF(M79:M81,"Met")</f>
        <v/>
      </c>
      <c r="M78" s="192">
        <f>IF(COUNTIF(M79:M81,"N/A")=COUNTA(A79:A81),"N/A",IF(COUNTIF(M79:M81,"Not Tested")&gt;0,"Not Tested","Counted"))</f>
        <v/>
      </c>
      <c r="N78" s="191">
        <f>IF(M78="N/A",IF(H78="Yes",0,""),IF(M78="Not Tested",0,IF(J78="Tier",IF(M78="Fully integrated",1,IF(M78="Standalone - manual encoding",0.5,0)),IF(J78="Binary",IF(M78="Met",1,0),IF(M78="Counted",IF(N(K78)&gt;0,IF(J78="All-or-nothing",IF(N(L78)&gt;=K78,1,0),MIN(N(L78)/K78,1)),0),0)))))</f>
        <v/>
      </c>
      <c r="O78" s="172">
        <f>IF(COUNTIF(M79:M81,"Not Met")&gt;0,COUNTIF(M79:M81,"Not Met")&amp;" of "&amp;K78&amp;" need compliance: "&amp;_xlfn.TEXTJOIN("; ",TRUE(),U79:U81),IF(COUNTIF(M79:M81,"Not Tested")&gt;0,COUNTIF(M79:M81,"Not Tested")&amp;" of "&amp;COUNTA(A79:A81)&amp;" not yet tested",IF(M78="N/A","","All compliant")))</f>
        <v/>
      </c>
      <c r="P78" s="173" t="n"/>
      <c r="Q78" s="175">
        <f>IF(N78="",0,I78)</f>
        <v/>
      </c>
      <c r="R78" s="175">
        <f>IF(N78="",0,I78*N78)</f>
        <v/>
      </c>
      <c r="S78" s="175">
        <f>IF(OR(AND(H78="Yes",M78&lt;&gt;"Not Tested",N78&lt;&gt;"",N78&lt;1),COUNTIFS(H79:H81,"Yes",M79:M81,"Not Met")+COUNTIFS(H79:H81,"Yes",M79:M81,"N/A")&gt;0),1,0)</f>
        <v/>
      </c>
      <c r="T78" s="175" t="inlineStr">
        <is>
          <t>Criterion</t>
        </is>
      </c>
      <c r="U78" s="175" t="n"/>
      <c r="V78" s="175">
        <f>COUNTA(A79:A81)-COUNTIF(M79:M81,"Not Tested")</f>
        <v/>
      </c>
      <c r="W78" s="175">
        <f>IF(AND(T78="Criterion",I78&gt;0,M78&lt;&gt;"Not Tested",N78&lt;&gt;"",OR(N(N78)&lt;1,S78=1)),A78,"")</f>
        <v/>
      </c>
    </row>
    <row r="79" ht="15.5" customHeight="1" s="125">
      <c r="A79" s="193" t="inlineStr">
        <is>
          <t>L3-20.1</t>
        </is>
      </c>
      <c r="B79" s="194" t="inlineStr">
        <is>
          <t>↳ sub-item</t>
        </is>
      </c>
      <c r="C79" s="193" t="inlineStr">
        <is>
          <t>Incoming + Private + Emergency matches</t>
        </is>
      </c>
      <c r="D79" s="195" t="inlineStr">
        <is>
          <t>(part of L3-20)</t>
        </is>
      </c>
      <c r="E79" s="196" t="n"/>
      <c r="F79" s="196" t="n"/>
      <c r="G79" s="196" t="n"/>
      <c r="H79" s="196" t="n"/>
      <c r="I79" s="196" t="n"/>
      <c r="J79" s="196" t="n"/>
      <c r="K79" s="196" t="n"/>
      <c r="L79" s="196" t="n"/>
      <c r="M79" s="197" t="inlineStr">
        <is>
          <t>Not Tested</t>
        </is>
      </c>
      <c r="N79" s="196" t="n"/>
      <c r="O79" s="193">
        <f>IF(M79="Not Met","Needs compliance",IF(M79="Not Tested","Not yet tested",""))</f>
        <v/>
      </c>
      <c r="P79" s="166" t="n"/>
      <c r="T79" s="124" t="inlineStr">
        <is>
          <t>Sub</t>
        </is>
      </c>
      <c r="U79" s="124">
        <f>IF(M79="Not Met","("&amp;1&amp;") "&amp;IF(H79="Yes","★ ","")&amp;C79,"")</f>
        <v/>
      </c>
    </row>
    <row r="80" ht="29" customHeight="1" s="125">
      <c r="A80" s="193" t="inlineStr">
        <is>
          <t>L3-20.2</t>
        </is>
      </c>
      <c r="B80" s="194" t="inlineStr">
        <is>
          <t>↳ sub-item</t>
        </is>
      </c>
      <c r="C80" s="193" t="inlineStr">
        <is>
          <t>Outgoing + Level 2 receiving capability + Consultation matches</t>
        </is>
      </c>
      <c r="D80" s="195" t="inlineStr">
        <is>
          <t>(part of L3-20)</t>
        </is>
      </c>
      <c r="E80" s="196" t="n"/>
      <c r="F80" s="196" t="n"/>
      <c r="G80" s="196" t="n"/>
      <c r="H80" s="196" t="n"/>
      <c r="I80" s="196" t="n"/>
      <c r="J80" s="196" t="n"/>
      <c r="K80" s="196" t="n"/>
      <c r="L80" s="196" t="n"/>
      <c r="M80" s="197" t="inlineStr">
        <is>
          <t>Not Tested</t>
        </is>
      </c>
      <c r="N80" s="196" t="n"/>
      <c r="O80" s="193">
        <f>IF(M80="Not Met","Needs compliance",IF(M80="Not Tested","Not yet tested",""))</f>
        <v/>
      </c>
      <c r="P80" s="166" t="n"/>
      <c r="T80" s="124" t="inlineStr">
        <is>
          <t>Sub</t>
        </is>
      </c>
      <c r="U80" s="124">
        <f>IF(M80="Not Met","("&amp;2&amp;") "&amp;IF(H80="Yes","★ ","")&amp;C80,"")</f>
        <v/>
      </c>
    </row>
    <row r="81" ht="15.5" customHeight="1" s="125">
      <c r="A81" s="193" t="inlineStr">
        <is>
          <t>L3-20.3</t>
        </is>
      </c>
      <c r="B81" s="194" t="inlineStr">
        <is>
          <t>↳ sub-item</t>
        </is>
      </c>
      <c r="C81" s="193" t="inlineStr">
        <is>
          <t>Reporting month + one facility matches</t>
        </is>
      </c>
      <c r="D81" s="195" t="inlineStr">
        <is>
          <t>(part of L3-20)</t>
        </is>
      </c>
      <c r="E81" s="196" t="n"/>
      <c r="F81" s="196" t="n"/>
      <c r="G81" s="196" t="n"/>
      <c r="H81" s="196" t="n"/>
      <c r="I81" s="196" t="n"/>
      <c r="J81" s="196" t="n"/>
      <c r="K81" s="196" t="n"/>
      <c r="L81" s="196" t="n"/>
      <c r="M81" s="197" t="inlineStr">
        <is>
          <t>Not Tested</t>
        </is>
      </c>
      <c r="N81" s="196" t="n"/>
      <c r="O81" s="193">
        <f>IF(M81="Not Met","Needs compliance",IF(M81="Not Tested","Not yet tested",""))</f>
        <v/>
      </c>
      <c r="P81" s="166" t="n"/>
      <c r="T81" s="124" t="inlineStr">
        <is>
          <t>Sub</t>
        </is>
      </c>
      <c r="U81" s="124">
        <f>IF(M81="Not Met","("&amp;3&amp;") "&amp;IF(H81="Yes","★ ","")&amp;C81,"")</f>
        <v/>
      </c>
    </row>
    <row r="82" ht="85" customHeight="1" s="125">
      <c r="A82" s="172" t="inlineStr">
        <is>
          <t>L3-21</t>
        </is>
      </c>
      <c r="B82" s="172" t="inlineStr">
        <is>
          <t>Edge cases</t>
        </is>
      </c>
      <c r="C82" s="172" t="inlineStr">
        <is>
          <t>Exported report totals equal the on-screen totals and the expected values</t>
        </is>
      </c>
      <c r="D82" s="172" t="inlineStr">
        <is>
          <t xml:space="preserve">Generate exports from the same query as the screen (IND-09).
Purpose: Data submitted outside the system must match what users saw.
</t>
        </is>
      </c>
      <c r="E82" s="172" t="inlineStr">
        <is>
          <t>Export the linelist and the aggregate report for the Section B and Section C windows; sum the exported rows. Met only if every total equals the screen and the expected values. Calculation rule: IND-09.</t>
        </is>
      </c>
      <c r="F82" s="172" t="inlineStr">
        <is>
          <t>Exported files + screenshots</t>
        </is>
      </c>
      <c r="G82" s="172" t="inlineStr">
        <is>
          <t>Validator</t>
        </is>
      </c>
      <c r="H82" s="172" t="inlineStr">
        <is>
          <t>No</t>
        </is>
      </c>
      <c r="I82" s="172" t="n">
        <v>1</v>
      </c>
      <c r="J82" s="172" t="inlineStr">
        <is>
          <t>Binary</t>
        </is>
      </c>
      <c r="K82" s="192" t="n"/>
      <c r="L82" s="192" t="n"/>
      <c r="M82" s="192" t="inlineStr">
        <is>
          <t>Not Tested</t>
        </is>
      </c>
      <c r="N82" s="191">
        <f>IF(M82="N/A",IF(H82="Yes",0,""),IF(M82="Not Tested",0,IF(J82="Tier",IF(M82="Fully integrated",1,IF(M82="Standalone - manual encoding",0.5,0)),IF(J82="Binary",IF(M82="Met",1,0),IF(M82="Counted",IF(N(K82)&gt;0,IF(J82="All-or-nothing",IF(N(L82)&gt;=K82,1,0),MIN(N(L82)/K82,1)),0),0)))))</f>
        <v/>
      </c>
      <c r="O82" s="172">
        <f>IF(M82="Not Met","Needs compliance",IF(M82="Not Tested","Not yet tested",""))</f>
        <v/>
      </c>
      <c r="P82" s="173" t="n"/>
      <c r="Q82" s="175">
        <f>IF(N82="",0,I82)</f>
        <v/>
      </c>
      <c r="R82" s="175">
        <f>IF(N82="",0,I82*N82)</f>
        <v/>
      </c>
      <c r="S82" s="175">
        <f>IF(AND(H82="Yes",M82&lt;&gt;"Not Tested",N82&lt;&gt;"",N82&lt;1),1,0)</f>
        <v/>
      </c>
      <c r="T82" s="175" t="inlineStr">
        <is>
          <t>Criterion</t>
        </is>
      </c>
      <c r="U82" s="175" t="n"/>
      <c r="V82" s="175" t="n"/>
      <c r="W82" s="175">
        <f>IF(AND(T82="Criterion",I82&gt;0,M82&lt;&gt;"Not Tested",N82&lt;&gt;"",OR(N(N82)&lt;1,S82=1)),A82,"")</f>
        <v/>
      </c>
    </row>
  </sheetData>
  <autoFilter ref="A9:P82"/>
  <mergeCells count="2">
    <mergeCell ref="A2:P2"/>
    <mergeCell ref="G4:L7"/>
  </mergeCells>
  <conditionalFormatting sqref="N10:N82">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82">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82">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1 M12 M13 M14 M15 M16 M18 M19 M20 M21 M22 M23 M24 M26 M27 M28 M30 M31 M33 M34 M35 M36 M38 M39 M40 M41 M43 M44 M45 M46 M47 M48 M49 M50 M51 M53 M54 M55 M56 M58 M59 M60 M61 M63 M64 M65 M66 M68 M69 M70 M72 M73 M75 M76 M77 M79 M80 M81 M82"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unreleased draft · branch certificate-demo · commit e9c2d50 · built 2026-10-16 09:44 PHT</oddHeader>
    <oddFooter>&amp;C&amp;7 Page &amp;P of &amp;N</oddFooter>
    <evenHeader/>
    <evenFooter/>
    <firstHeader/>
    <firstFooter/>
  </headerFooter>
</worksheet>
</file>

<file path=xl/worksheets/sheet12.xml><?xml version="1.0" encoding="utf-8"?>
<worksheet xmlns="http://schemas.openxmlformats.org/spreadsheetml/2006/main">
  <sheetPr filterMode="0">
    <tabColor rgb="FF7030A0"/>
    <outlinePr summaryBelow="1" summaryRight="1"/>
    <pageSetUpPr fitToPage="1"/>
  </sheetPr>
  <dimension ref="A1:W39"/>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4 — Advanced Interoperability</t>
        </is>
      </c>
    </row>
    <row r="2" ht="79.5" customHeight="1" s="125">
      <c r="A2" s="174" t="inlineStr">
        <is>
          <t>Advanced interoperability. Rev 7 separates two tracks: CORE-TRACK items are fundamental interoperability requirements that will MIGRATE to Level 2 (minimum conformance) as soon as the PHeReF IG models them (back-referral and the multi-tier referral chain are not yet modelled in IG v0.1.0); MATURITY items are capability targets that remain optional. Moved to Level 2 in Rev 7: status timestamps (L4-06 → TS2-13), patient de-duplication (L4-08 → TS1-16) and NHFR-sourced facility data (L4-09 → TS0-06.2). The track is shown in the Section column.</t>
        </is>
      </c>
    </row>
    <row r="3"/>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Summary!D15</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8"/>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98.5" customHeight="1" s="125">
      <c r="A10" s="172" t="inlineStr">
        <is>
          <t>L4-01</t>
        </is>
      </c>
      <c r="B10" s="172" t="inlineStr">
        <is>
          <t>Core-track · Back-referral</t>
        </is>
      </c>
      <c r="C10" s="172" t="inlineStr">
        <is>
          <t>Receiving facility sends a back-referral that arrives at the original referring facility</t>
        </is>
      </c>
      <c r="D10" s="172" t="inlineStr">
        <is>
          <t xml:space="preserve">Implement back-referral per the PHeReF IG, sent to the SHR and addressed to the original referring facility.
Purpose: Closes the care loop — the patient's home facility knows what happened.
</t>
        </is>
      </c>
      <c r="E10" s="172" t="inlineStr">
        <is>
          <t>Complete the Test Data referral and send a back-referral; Met if it appears at the referring EMR and on the SHR.</t>
        </is>
      </c>
      <c r="F10" s="172" t="inlineStr">
        <is>
          <t>Screenshots at both EMRs + SHR resource ID</t>
        </is>
      </c>
      <c r="G10" s="172" t="inlineStr">
        <is>
          <t>Validator + server-side check + Observer</t>
        </is>
      </c>
      <c r="H10" s="188" t="inlineStr">
        <is>
          <t>Yes</t>
        </is>
      </c>
      <c r="I10" s="172" t="n">
        <v>2</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98.5" customHeight="1" s="125">
      <c r="A11" s="172" t="inlineStr">
        <is>
          <t>L4-02</t>
        </is>
      </c>
      <c r="B11" s="172" t="inlineStr">
        <is>
          <t>Core-track · Back-referral</t>
        </is>
      </c>
      <c r="C11" s="172" t="inlineStr">
        <is>
          <t>Back-referral contains: (1) final diagnosis/outcome, (2) treatment given, (3) follow-up instructions/recommendations</t>
        </is>
      </c>
      <c r="D11" s="172" t="inlineStr">
        <is>
          <t xml:space="preserve">Include final diagnosis/outcome, treatment given, and follow-up instructions in the back-referral.
Purpose: The home facility has what it needs to continue care.
</t>
        </is>
      </c>
      <c r="E11" s="172" t="inlineStr">
        <is>
          <t xml:space="preserve">Count the 3 elements present and correct at the referring EMR.
Mark each sub-item (↳) below; Achieved is counted automatically.
</t>
        </is>
      </c>
      <c r="F11" s="172" t="inlineStr">
        <is>
          <t>Screenshot</t>
        </is>
      </c>
      <c r="G11" s="172" t="inlineStr">
        <is>
          <t>Validator + server-side check + Observer</t>
        </is>
      </c>
      <c r="H11" s="188" t="inlineStr">
        <is>
          <t>No</t>
        </is>
      </c>
      <c r="I11" s="172" t="n">
        <v>1</v>
      </c>
      <c r="J11" s="172" t="inlineStr">
        <is>
          <t>Count</t>
        </is>
      </c>
      <c r="K11" s="189">
        <f>COUNTA(A12:A14)-COUNTIF(M12:M14,"N/A")</f>
        <v/>
      </c>
      <c r="L11" s="189">
        <f>COUNTIF(M12:M14,"Met")</f>
        <v/>
      </c>
      <c r="M11" s="190">
        <f>IF(COUNTIF(M12:M14,"N/A")=COUNTA(A12:A14),"N/A",IF(COUNTIF(M12:M14,"Not Tested")&gt;0,"Not Tested","Counted"))</f>
        <v/>
      </c>
      <c r="N11" s="191">
        <f>IF(M11="N/A",IF(H11="Yes",0,""),IF(M11="Not Tested",0,IF(J11="Tier",IF(M11="Fully integrated",1,IF(M11="Standalone - manual encoding",0.5,0)),IF(J11="Binary",IF(M11="Met",1,0),IF(M11="Counted",IF(N(K11)&gt;0,IF(J11="All-or-nothing",IF(N(L11)&gt;=K11,1,0),MIN(N(L11)/K11,1)),0),0)))))</f>
        <v/>
      </c>
      <c r="O11" s="172">
        <f>IF(COUNTIF(M12:M14,"Not Met")&gt;0,COUNTIF(M12:M14,"Not Met")&amp;" of "&amp;K11&amp;" need compliance: "&amp;_xlfn.TEXTJOIN("; ",TRUE(),U12:U14),IF(COUNTIF(M12:M14,"Not Tested")&gt;0,COUNTIF(M12:M14,"Not Tested")&amp;" of "&amp;COUNTA(A12:A14)&amp;" not yet tested",IF(M11="N/A","","All compliant")))</f>
        <v/>
      </c>
      <c r="P11" s="173" t="n"/>
      <c r="Q11" s="175">
        <f>IF(N11="",0,I11)</f>
        <v/>
      </c>
      <c r="R11" s="175">
        <f>IF(N11="",0,I11*N11)</f>
        <v/>
      </c>
      <c r="S11" s="175">
        <f>IF(OR(AND(H11="Yes",M11&lt;&gt;"Not Tested",N11&lt;&gt;"",N11&lt;1),COUNTIFS(H12:H14,"Yes",M12:M14,"Not Met")+COUNTIFS(H12:H14,"Yes",M12:M14,"N/A")&gt;0),1,0)</f>
        <v/>
      </c>
      <c r="T11" s="175" t="inlineStr">
        <is>
          <t>Criterion</t>
        </is>
      </c>
      <c r="U11" s="175" t="n"/>
      <c r="V11" s="175">
        <f>COUNTA(A12:A14)-COUNTIF(M12:M14,"Not Tested")</f>
        <v/>
      </c>
      <c r="W11" s="175">
        <f>IF(AND(T11="Criterion",I11&gt;0,M11&lt;&gt;"Not Tested",N11&lt;&gt;"",OR(N(N11)&lt;1,S11=1)),A11,"")</f>
        <v/>
      </c>
    </row>
    <row r="12" ht="15.5" customHeight="1" s="125">
      <c r="A12" s="193" t="inlineStr">
        <is>
          <t>L4-02.1</t>
        </is>
      </c>
      <c r="B12" s="194" t="inlineStr">
        <is>
          <t>↳ sub-item</t>
        </is>
      </c>
      <c r="C12" s="193" t="inlineStr">
        <is>
          <t>Final diagnosis / outcome</t>
        </is>
      </c>
      <c r="D12" s="195" t="inlineStr">
        <is>
          <t>(part of L4-02)</t>
        </is>
      </c>
      <c r="E12" s="196" t="n"/>
      <c r="F12" s="196" t="n"/>
      <c r="G12" s="196" t="n"/>
      <c r="H12" s="196" t="n"/>
      <c r="I12" s="196" t="n"/>
      <c r="J12" s="196" t="n"/>
      <c r="K12" s="196" t="n"/>
      <c r="L12" s="196" t="n"/>
      <c r="M12" s="197" t="inlineStr">
        <is>
          <t>Not Tested</t>
        </is>
      </c>
      <c r="N12" s="196" t="n"/>
      <c r="O12" s="193">
        <f>IF(M12="Not Met","Needs compliance",IF(M12="Not Tested","Not yet tested",""))</f>
        <v/>
      </c>
      <c r="P12" s="166" t="n"/>
      <c r="T12" s="124" t="inlineStr">
        <is>
          <t>Sub</t>
        </is>
      </c>
      <c r="U12" s="124">
        <f>IF(M12="Not Met","("&amp;1&amp;") "&amp;IF(H12="Yes","★ ","")&amp;C12,"")</f>
        <v/>
      </c>
    </row>
    <row r="13" ht="15.5" customHeight="1" s="125">
      <c r="A13" s="193" t="inlineStr">
        <is>
          <t>L4-02.2</t>
        </is>
      </c>
      <c r="B13" s="194" t="inlineStr">
        <is>
          <t>↳ sub-item</t>
        </is>
      </c>
      <c r="C13" s="193" t="inlineStr">
        <is>
          <t>Treatment given</t>
        </is>
      </c>
      <c r="D13" s="195" t="inlineStr">
        <is>
          <t>(part of L4-02)</t>
        </is>
      </c>
      <c r="E13" s="196" t="n"/>
      <c r="F13" s="196" t="n"/>
      <c r="G13" s="196" t="n"/>
      <c r="H13" s="196" t="n"/>
      <c r="I13" s="196" t="n"/>
      <c r="J13" s="196" t="n"/>
      <c r="K13" s="196" t="n"/>
      <c r="L13" s="196" t="n"/>
      <c r="M13" s="197" t="inlineStr">
        <is>
          <t>Not Tested</t>
        </is>
      </c>
      <c r="N13" s="196" t="n"/>
      <c r="O13" s="193">
        <f>IF(M13="Not Met","Needs compliance",IF(M13="Not Tested","Not yet tested",""))</f>
        <v/>
      </c>
      <c r="P13" s="166" t="n"/>
      <c r="T13" s="124" t="inlineStr">
        <is>
          <t>Sub</t>
        </is>
      </c>
      <c r="U13" s="124">
        <f>IF(M13="Not Met","("&amp;2&amp;") "&amp;IF(H13="Yes","★ ","")&amp;C13,"")</f>
        <v/>
      </c>
    </row>
    <row r="14" ht="29" customHeight="1" s="125">
      <c r="A14" s="193" t="inlineStr">
        <is>
          <t>L4-02.3</t>
        </is>
      </c>
      <c r="B14" s="194" t="inlineStr">
        <is>
          <t>↳ sub-item</t>
        </is>
      </c>
      <c r="C14" s="193" t="inlineStr">
        <is>
          <t>Follow-up instructions / recommendations</t>
        </is>
      </c>
      <c r="D14" s="195" t="inlineStr">
        <is>
          <t>(part of L4-02)</t>
        </is>
      </c>
      <c r="E14" s="196" t="n"/>
      <c r="F14" s="196" t="n"/>
      <c r="G14" s="196" t="n"/>
      <c r="H14" s="196" t="n"/>
      <c r="I14" s="196" t="n"/>
      <c r="J14" s="196" t="n"/>
      <c r="K14" s="196" t="n"/>
      <c r="L14" s="196" t="n"/>
      <c r="M14" s="197" t="inlineStr">
        <is>
          <t>Not Tested</t>
        </is>
      </c>
      <c r="N14" s="196" t="n"/>
      <c r="O14" s="193">
        <f>IF(M14="Not Met","Needs compliance",IF(M14="Not Tested","Not yet tested",""))</f>
        <v/>
      </c>
      <c r="P14" s="166" t="n"/>
      <c r="T14" s="124" t="inlineStr">
        <is>
          <t>Sub</t>
        </is>
      </c>
      <c r="U14" s="124">
        <f>IF(M14="Not Met","("&amp;3&amp;") "&amp;IF(H14="Yes","★ ","")&amp;C14,"")</f>
        <v/>
      </c>
    </row>
    <row r="15" ht="98.5" customHeight="1" s="125">
      <c r="A15" s="172" t="inlineStr">
        <is>
          <t>L4-03</t>
        </is>
      </c>
      <c r="B15" s="172" t="inlineStr">
        <is>
          <t>Maturity · Auto-population</t>
        </is>
      </c>
      <c r="C15" s="172" t="inlineStr">
        <is>
          <t>Referral form is pre-filled from data already in the patient's EMR record (no re-typing)</t>
        </is>
      </c>
      <c r="D15" s="172" t="inlineStr">
        <is>
          <t xml:space="preserve">Pre-fill the referral form from data already in the patient's record (demographics, vitals, diagnosis) instead of re-entry.
Purpose: Main gap found at the Connectathon: data was re-keyed instead of reused.
</t>
        </is>
      </c>
      <c r="E15" s="172" t="inlineStr">
        <is>
          <t xml:space="preserve">Register the test patient with demographics, vitals and diagnosis first. Open a new referral and count the 10 fields listed in the Notes that are pre-filled correctly.
Mark each sub-item (↳) below; Achieved is counted automatically.
</t>
        </is>
      </c>
      <c r="F15" s="172" t="inlineStr">
        <is>
          <t>Screen recording</t>
        </is>
      </c>
      <c r="G15" s="172" t="inlineStr">
        <is>
          <t>Validator + server-side check + Observer</t>
        </is>
      </c>
      <c r="H15" s="188" t="inlineStr">
        <is>
          <t>No</t>
        </is>
      </c>
      <c r="I15" s="172" t="n">
        <v>2</v>
      </c>
      <c r="J15" s="172" t="inlineStr">
        <is>
          <t>Count</t>
        </is>
      </c>
      <c r="K15" s="189">
        <f>COUNTA(A16:A25)-COUNTIF(M16:M25,"N/A")</f>
        <v/>
      </c>
      <c r="L15" s="189">
        <f>COUNTIF(M16:M25,"Met")</f>
        <v/>
      </c>
      <c r="M15" s="190">
        <f>IF(COUNTIF(M16:M25,"N/A")=COUNTA(A16:A25),"N/A",IF(COUNTIF(M16:M25,"Not Tested")&gt;0,"Not Tested","Counted"))</f>
        <v/>
      </c>
      <c r="N15" s="191">
        <f>IF(M15="N/A",IF(H15="Yes",0,""),IF(M15="Not Tested",0,IF(J15="Tier",IF(M15="Fully integrated",1,IF(M15="Standalone - manual encoding",0.5,0)),IF(J15="Binary",IF(M15="Met",1,0),IF(M15="Counted",IF(N(K15)&gt;0,IF(J15="All-or-nothing",IF(N(L15)&gt;=K15,1,0),MIN(N(L15)/K15,1)),0),0)))))</f>
        <v/>
      </c>
      <c r="O15" s="172">
        <f>IF(COUNTIF(M16:M25,"Not Met")&gt;0,COUNTIF(M16:M25,"Not Met")&amp;" of "&amp;K15&amp;" need compliance: "&amp;_xlfn.TEXTJOIN("; ",TRUE(),U16:U25),IF(COUNTIF(M16:M25,"Not Tested")&gt;0,COUNTIF(M16:M25,"Not Tested")&amp;" of "&amp;COUNTA(A16:A25)&amp;" not yet tested",IF(M15="N/A","","All compliant")))</f>
        <v/>
      </c>
      <c r="P15" s="173" t="n"/>
      <c r="Q15" s="175">
        <f>IF(N15="",0,I15)</f>
        <v/>
      </c>
      <c r="R15" s="175">
        <f>IF(N15="",0,I15*N15)</f>
        <v/>
      </c>
      <c r="S15" s="175">
        <f>IF(OR(AND(H15="Yes",M15&lt;&gt;"Not Tested",N15&lt;&gt;"",N15&lt;1),COUNTIFS(H16:H25,"Yes",M16:M25,"Not Met")+COUNTIFS(H16:H25,"Yes",M16:M25,"N/A")&gt;0),1,0)</f>
        <v/>
      </c>
      <c r="T15" s="175" t="inlineStr">
        <is>
          <t>Criterion</t>
        </is>
      </c>
      <c r="U15" s="175" t="n"/>
      <c r="V15" s="175">
        <f>COUNTA(A16:A25)-COUNTIF(M16:M25,"Not Tested")</f>
        <v/>
      </c>
      <c r="W15" s="175">
        <f>IF(AND(T15="Criterion",I15&gt;0,M15&lt;&gt;"Not Tested",N15&lt;&gt;"",OR(N(N15)&lt;1,S15=1)),A15,"")</f>
        <v/>
      </c>
    </row>
    <row r="16" ht="29" customHeight="1" s="125">
      <c r="A16" s="193" t="inlineStr">
        <is>
          <t>L4-03.1</t>
        </is>
      </c>
      <c r="B16" s="194" t="inlineStr">
        <is>
          <t>↳ sub-item</t>
        </is>
      </c>
      <c r="C16" s="193" t="inlineStr">
        <is>
          <t>Patient full name — pre-filled from the EMR record</t>
        </is>
      </c>
      <c r="D16" s="195" t="inlineStr">
        <is>
          <t>(part of L4-03)</t>
        </is>
      </c>
      <c r="E16" s="196" t="n"/>
      <c r="F16" s="196" t="n"/>
      <c r="G16" s="196" t="n"/>
      <c r="H16" s="196" t="n"/>
      <c r="I16" s="196" t="n"/>
      <c r="J16" s="196" t="n"/>
      <c r="K16" s="196" t="n"/>
      <c r="L16" s="196" t="n"/>
      <c r="M16" s="197" t="inlineStr">
        <is>
          <t>Not Tested</t>
        </is>
      </c>
      <c r="N16" s="196" t="n"/>
      <c r="O16" s="193">
        <f>IF(M16="Not Met","Needs compliance",IF(M16="Not Tested","Not yet tested",""))</f>
        <v/>
      </c>
      <c r="P16" s="166" t="n"/>
      <c r="T16" s="124" t="inlineStr">
        <is>
          <t>Sub</t>
        </is>
      </c>
      <c r="U16" s="124">
        <f>IF(M16="Not Met","("&amp;1&amp;") "&amp;IF(H16="Yes","★ ","")&amp;C16,"")</f>
        <v/>
      </c>
    </row>
    <row r="17" ht="29" customHeight="1" s="125">
      <c r="A17" s="193" t="inlineStr">
        <is>
          <t>L4-03.2</t>
        </is>
      </c>
      <c r="B17" s="194" t="inlineStr">
        <is>
          <t>↳ sub-item</t>
        </is>
      </c>
      <c r="C17" s="193" t="inlineStr">
        <is>
          <t>Birth date — pre-filled from the EMR record</t>
        </is>
      </c>
      <c r="D17" s="195" t="inlineStr">
        <is>
          <t>(part of L4-03)</t>
        </is>
      </c>
      <c r="E17" s="196" t="n"/>
      <c r="F17" s="196" t="n"/>
      <c r="G17" s="196" t="n"/>
      <c r="H17" s="196" t="n"/>
      <c r="I17" s="196" t="n"/>
      <c r="J17" s="196" t="n"/>
      <c r="K17" s="196" t="n"/>
      <c r="L17" s="196" t="n"/>
      <c r="M17" s="197" t="inlineStr">
        <is>
          <t>Not Tested</t>
        </is>
      </c>
      <c r="N17" s="196" t="n"/>
      <c r="O17" s="193">
        <f>IF(M17="Not Met","Needs compliance",IF(M17="Not Tested","Not yet tested",""))</f>
        <v/>
      </c>
      <c r="P17" s="166" t="n"/>
      <c r="T17" s="124" t="inlineStr">
        <is>
          <t>Sub</t>
        </is>
      </c>
      <c r="U17" s="124">
        <f>IF(M17="Not Met","("&amp;2&amp;") "&amp;IF(H17="Yes","★ ","")&amp;C17,"")</f>
        <v/>
      </c>
    </row>
    <row r="18" ht="15.5" customHeight="1" s="125">
      <c r="A18" s="193" t="inlineStr">
        <is>
          <t>L4-03.3</t>
        </is>
      </c>
      <c r="B18" s="194" t="inlineStr">
        <is>
          <t>↳ sub-item</t>
        </is>
      </c>
      <c r="C18" s="193" t="inlineStr">
        <is>
          <t>Sex — pre-filled from the EMR record</t>
        </is>
      </c>
      <c r="D18" s="195" t="inlineStr">
        <is>
          <t>(part of L4-03)</t>
        </is>
      </c>
      <c r="E18" s="196" t="n"/>
      <c r="F18" s="196" t="n"/>
      <c r="G18" s="196" t="n"/>
      <c r="H18" s="196" t="n"/>
      <c r="I18" s="196" t="n"/>
      <c r="J18" s="196" t="n"/>
      <c r="K18" s="196" t="n"/>
      <c r="L18" s="196" t="n"/>
      <c r="M18" s="197" t="inlineStr">
        <is>
          <t>Not Tested</t>
        </is>
      </c>
      <c r="N18" s="196" t="n"/>
      <c r="O18" s="193">
        <f>IF(M18="Not Met","Needs compliance",IF(M18="Not Tested","Not yet tested",""))</f>
        <v/>
      </c>
      <c r="P18" s="166" t="n"/>
      <c r="T18" s="124" t="inlineStr">
        <is>
          <t>Sub</t>
        </is>
      </c>
      <c r="U18" s="124">
        <f>IF(M18="Not Met","("&amp;3&amp;") "&amp;IF(H18="Yes","★ ","")&amp;C18,"")</f>
        <v/>
      </c>
    </row>
    <row r="19" ht="29" customHeight="1" s="125">
      <c r="A19" s="193" t="inlineStr">
        <is>
          <t>L4-03.4</t>
        </is>
      </c>
      <c r="B19" s="194" t="inlineStr">
        <is>
          <t>↳ sub-item</t>
        </is>
      </c>
      <c r="C19" s="193" t="inlineStr">
        <is>
          <t>PhilSys number — pre-filled from the EMR record</t>
        </is>
      </c>
      <c r="D19" s="195" t="inlineStr">
        <is>
          <t>(part of L4-03)</t>
        </is>
      </c>
      <c r="E19" s="196" t="n"/>
      <c r="F19" s="196" t="n"/>
      <c r="G19" s="196" t="n"/>
      <c r="H19" s="196" t="n"/>
      <c r="I19" s="196" t="n"/>
      <c r="J19" s="196" t="n"/>
      <c r="K19" s="196" t="n"/>
      <c r="L19" s="196" t="n"/>
      <c r="M19" s="197" t="inlineStr">
        <is>
          <t>Not Tested</t>
        </is>
      </c>
      <c r="N19" s="196" t="n"/>
      <c r="O19" s="193">
        <f>IF(M19="Not Met","Needs compliance",IF(M19="Not Tested","Not yet tested",""))</f>
        <v/>
      </c>
      <c r="P19" s="166" t="n"/>
      <c r="T19" s="124" t="inlineStr">
        <is>
          <t>Sub</t>
        </is>
      </c>
      <c r="U19" s="124">
        <f>IF(M19="Not Met","("&amp;4&amp;") "&amp;IF(H19="Yes","★ ","")&amp;C19,"")</f>
        <v/>
      </c>
    </row>
    <row r="20" ht="29" customHeight="1" s="125">
      <c r="A20" s="193" t="inlineStr">
        <is>
          <t>L4-03.5</t>
        </is>
      </c>
      <c r="B20" s="194" t="inlineStr">
        <is>
          <t>↳ sub-item</t>
        </is>
      </c>
      <c r="C20" s="193" t="inlineStr">
        <is>
          <t>PhilHealth ID — pre-filled from the EMR record</t>
        </is>
      </c>
      <c r="D20" s="195" t="inlineStr">
        <is>
          <t>(part of L4-03)</t>
        </is>
      </c>
      <c r="E20" s="196" t="n"/>
      <c r="F20" s="196" t="n"/>
      <c r="G20" s="196" t="n"/>
      <c r="H20" s="196" t="n"/>
      <c r="I20" s="196" t="n"/>
      <c r="J20" s="196" t="n"/>
      <c r="K20" s="196" t="n"/>
      <c r="L20" s="196" t="n"/>
      <c r="M20" s="197" t="inlineStr">
        <is>
          <t>Not Tested</t>
        </is>
      </c>
      <c r="N20" s="196" t="n"/>
      <c r="O20" s="193">
        <f>IF(M20="Not Met","Needs compliance",IF(M20="Not Tested","Not yet tested",""))</f>
        <v/>
      </c>
      <c r="P20" s="166" t="n"/>
      <c r="T20" s="124" t="inlineStr">
        <is>
          <t>Sub</t>
        </is>
      </c>
      <c r="U20" s="124">
        <f>IF(M20="Not Met","("&amp;5&amp;") "&amp;IF(H20="Yes","★ ","")&amp;C20,"")</f>
        <v/>
      </c>
    </row>
    <row r="21" ht="29" customHeight="1" s="125">
      <c r="A21" s="193" t="inlineStr">
        <is>
          <t>L4-03.6</t>
        </is>
      </c>
      <c r="B21" s="194" t="inlineStr">
        <is>
          <t>↳ sub-item</t>
        </is>
      </c>
      <c r="C21" s="193" t="inlineStr">
        <is>
          <t>Patient address — pre-filled from the EMR record</t>
        </is>
      </c>
      <c r="D21" s="195" t="inlineStr">
        <is>
          <t>(part of L4-03)</t>
        </is>
      </c>
      <c r="E21" s="196" t="n"/>
      <c r="F21" s="196" t="n"/>
      <c r="G21" s="196" t="n"/>
      <c r="H21" s="196" t="n"/>
      <c r="I21" s="196" t="n"/>
      <c r="J21" s="196" t="n"/>
      <c r="K21" s="196" t="n"/>
      <c r="L21" s="196" t="n"/>
      <c r="M21" s="197" t="inlineStr">
        <is>
          <t>Not Tested</t>
        </is>
      </c>
      <c r="N21" s="196" t="n"/>
      <c r="O21" s="193">
        <f>IF(M21="Not Met","Needs compliance",IF(M21="Not Tested","Not yet tested",""))</f>
        <v/>
      </c>
      <c r="P21" s="166" t="n"/>
      <c r="T21" s="124" t="inlineStr">
        <is>
          <t>Sub</t>
        </is>
      </c>
      <c r="U21" s="124">
        <f>IF(M21="Not Met","("&amp;6&amp;") "&amp;IF(H21="Yes","★ ","")&amp;C21,"")</f>
        <v/>
      </c>
    </row>
    <row r="22" ht="29" customHeight="1" s="125">
      <c r="A22" s="193" t="inlineStr">
        <is>
          <t>L4-03.7</t>
        </is>
      </c>
      <c r="B22" s="194" t="inlineStr">
        <is>
          <t>↳ sub-item</t>
        </is>
      </c>
      <c r="C22" s="193" t="inlineStr">
        <is>
          <t>Contact number — pre-filled from the EMR record</t>
        </is>
      </c>
      <c r="D22" s="195" t="inlineStr">
        <is>
          <t>(part of L4-03)</t>
        </is>
      </c>
      <c r="E22" s="196" t="n"/>
      <c r="F22" s="196" t="n"/>
      <c r="G22" s="196" t="n"/>
      <c r="H22" s="196" t="n"/>
      <c r="I22" s="196" t="n"/>
      <c r="J22" s="196" t="n"/>
      <c r="K22" s="196" t="n"/>
      <c r="L22" s="196" t="n"/>
      <c r="M22" s="197" t="inlineStr">
        <is>
          <t>Not Tested</t>
        </is>
      </c>
      <c r="N22" s="196" t="n"/>
      <c r="O22" s="193">
        <f>IF(M22="Not Met","Needs compliance",IF(M22="Not Tested","Not yet tested",""))</f>
        <v/>
      </c>
      <c r="P22" s="166" t="n"/>
      <c r="T22" s="124" t="inlineStr">
        <is>
          <t>Sub</t>
        </is>
      </c>
      <c r="U22" s="124">
        <f>IF(M22="Not Met","("&amp;7&amp;") "&amp;IF(H22="Yes","★ ","")&amp;C22,"")</f>
        <v/>
      </c>
    </row>
    <row r="23" ht="29" customHeight="1" s="125">
      <c r="A23" s="193" t="inlineStr">
        <is>
          <t>L4-03.8</t>
        </is>
      </c>
      <c r="B23" s="194" t="inlineStr">
        <is>
          <t>↳ sub-item</t>
        </is>
      </c>
      <c r="C23" s="193" t="inlineStr">
        <is>
          <t>Chief complaint — pre-filled from the EMR record</t>
        </is>
      </c>
      <c r="D23" s="195" t="inlineStr">
        <is>
          <t>(part of L4-03)</t>
        </is>
      </c>
      <c r="E23" s="196" t="n"/>
      <c r="F23" s="196" t="n"/>
      <c r="G23" s="196" t="n"/>
      <c r="H23" s="196" t="n"/>
      <c r="I23" s="196" t="n"/>
      <c r="J23" s="196" t="n"/>
      <c r="K23" s="196" t="n"/>
      <c r="L23" s="196" t="n"/>
      <c r="M23" s="197" t="inlineStr">
        <is>
          <t>Not Tested</t>
        </is>
      </c>
      <c r="N23" s="196" t="n"/>
      <c r="O23" s="193">
        <f>IF(M23="Not Met","Needs compliance",IF(M23="Not Tested","Not yet tested",""))</f>
        <v/>
      </c>
      <c r="P23" s="166" t="n"/>
      <c r="T23" s="124" t="inlineStr">
        <is>
          <t>Sub</t>
        </is>
      </c>
      <c r="U23" s="124">
        <f>IF(M23="Not Met","("&amp;8&amp;") "&amp;IF(H23="Yes","★ ","")&amp;C23,"")</f>
        <v/>
      </c>
    </row>
    <row r="24" ht="29" customHeight="1" s="125">
      <c r="A24" s="193" t="inlineStr">
        <is>
          <t>L4-03.9</t>
        </is>
      </c>
      <c r="B24" s="194" t="inlineStr">
        <is>
          <t>↳ sub-item</t>
        </is>
      </c>
      <c r="C24" s="193" t="inlineStr">
        <is>
          <t>Working impression — pre-filled from the EMR record</t>
        </is>
      </c>
      <c r="D24" s="195" t="inlineStr">
        <is>
          <t>(part of L4-03)</t>
        </is>
      </c>
      <c r="E24" s="196" t="n"/>
      <c r="F24" s="196" t="n"/>
      <c r="G24" s="196" t="n"/>
      <c r="H24" s="196" t="n"/>
      <c r="I24" s="196" t="n"/>
      <c r="J24" s="196" t="n"/>
      <c r="K24" s="196" t="n"/>
      <c r="L24" s="196" t="n"/>
      <c r="M24" s="197" t="inlineStr">
        <is>
          <t>Not Tested</t>
        </is>
      </c>
      <c r="N24" s="196" t="n"/>
      <c r="O24" s="193">
        <f>IF(M24="Not Met","Needs compliance",IF(M24="Not Tested","Not yet tested",""))</f>
        <v/>
      </c>
      <c r="P24" s="166" t="n"/>
      <c r="T24" s="124" t="inlineStr">
        <is>
          <t>Sub</t>
        </is>
      </c>
      <c r="U24" s="124">
        <f>IF(M24="Not Met","("&amp;9&amp;") "&amp;IF(H24="Yes","★ ","")&amp;C24,"")</f>
        <v/>
      </c>
    </row>
    <row r="25" ht="29" customHeight="1" s="125">
      <c r="A25" s="193" t="inlineStr">
        <is>
          <t>L4-03.10</t>
        </is>
      </c>
      <c r="B25" s="194" t="inlineStr">
        <is>
          <t>↳ sub-item</t>
        </is>
      </c>
      <c r="C25" s="193" t="inlineStr">
        <is>
          <t>Blood pressure — pre-filled from the EMR record</t>
        </is>
      </c>
      <c r="D25" s="195" t="inlineStr">
        <is>
          <t>(part of L4-03)</t>
        </is>
      </c>
      <c r="E25" s="196" t="n"/>
      <c r="F25" s="196" t="n"/>
      <c r="G25" s="196" t="n"/>
      <c r="H25" s="196" t="n"/>
      <c r="I25" s="196" t="n"/>
      <c r="J25" s="196" t="n"/>
      <c r="K25" s="196" t="n"/>
      <c r="L25" s="196" t="n"/>
      <c r="M25" s="197" t="inlineStr">
        <is>
          <t>Not Tested</t>
        </is>
      </c>
      <c r="N25" s="196" t="n"/>
      <c r="O25" s="193">
        <f>IF(M25="Not Met","Needs compliance",IF(M25="Not Tested","Not yet tested",""))</f>
        <v/>
      </c>
      <c r="P25" s="166" t="n"/>
      <c r="T25" s="124" t="inlineStr">
        <is>
          <t>Sub</t>
        </is>
      </c>
      <c r="U25" s="124">
        <f>IF(M25="Not Met","("&amp;10&amp;") "&amp;IF(H25="Yes","★ ","")&amp;C25,"")</f>
        <v/>
      </c>
    </row>
    <row r="26" ht="98.5" customHeight="1" s="125">
      <c r="A26" s="172" t="inlineStr">
        <is>
          <t>L4-04</t>
        </is>
      </c>
      <c r="B26" s="172" t="inlineStr">
        <is>
          <t>Maturity · Auto-population</t>
        </is>
      </c>
      <c r="C26" s="172" t="inlineStr">
        <is>
          <t>Receiving facility can import the received referral data into its EMR record without re-typing</t>
        </is>
      </c>
      <c r="D26" s="172" t="inlineStr">
        <is>
          <t xml:space="preserve">Allow the receiving facility to import the retrieved referral data into its patient record without re-typing.
Purpose: True interoperability at the receiving side.
</t>
        </is>
      </c>
      <c r="E26" s="172" t="inlineStr">
        <is>
          <t xml:space="preserve">Count the same 10 fields that are imported into the receiving patient record automatically.
Mark each sub-item (↳) below; Achieved is counted automatically.
</t>
        </is>
      </c>
      <c r="F26" s="172" t="inlineStr">
        <is>
          <t>Screen recording</t>
        </is>
      </c>
      <c r="G26" s="172" t="inlineStr">
        <is>
          <t>Validator + server-side check + Observer</t>
        </is>
      </c>
      <c r="H26" s="188" t="inlineStr">
        <is>
          <t>No</t>
        </is>
      </c>
      <c r="I26" s="172" t="n">
        <v>2</v>
      </c>
      <c r="J26" s="172" t="inlineStr">
        <is>
          <t>Count</t>
        </is>
      </c>
      <c r="K26" s="189">
        <f>COUNTA(A27:A36)-COUNTIF(M27:M36,"N/A")</f>
        <v/>
      </c>
      <c r="L26" s="189">
        <f>COUNTIF(M27:M36,"Met")</f>
        <v/>
      </c>
      <c r="M26" s="190">
        <f>IF(COUNTIF(M27:M36,"N/A")=COUNTA(A27:A36),"N/A",IF(COUNTIF(M27:M36,"Not Tested")&gt;0,"Not Tested","Counted"))</f>
        <v/>
      </c>
      <c r="N26" s="191">
        <f>IF(M26="N/A",IF(H26="Yes",0,""),IF(M26="Not Tested",0,IF(J26="Tier",IF(M26="Fully integrated",1,IF(M26="Standalone - manual encoding",0.5,0)),IF(J26="Binary",IF(M26="Met",1,0),IF(M26="Counted",IF(N(K26)&gt;0,IF(J26="All-or-nothing",IF(N(L26)&gt;=K26,1,0),MIN(N(L26)/K26,1)),0),0)))))</f>
        <v/>
      </c>
      <c r="O26" s="172">
        <f>IF(COUNTIF(M27:M36,"Not Met")&gt;0,COUNTIF(M27:M36,"Not Met")&amp;" of "&amp;K26&amp;" need compliance: "&amp;_xlfn.TEXTJOIN("; ",TRUE(),U27:U36),IF(COUNTIF(M27:M36,"Not Tested")&gt;0,COUNTIF(M27:M36,"Not Tested")&amp;" of "&amp;COUNTA(A27:A36)&amp;" not yet tested",IF(M26="N/A","","All compliant")))</f>
        <v/>
      </c>
      <c r="P26" s="173" t="n"/>
      <c r="Q26" s="175">
        <f>IF(N26="",0,I26)</f>
        <v/>
      </c>
      <c r="R26" s="175">
        <f>IF(N26="",0,I26*N26)</f>
        <v/>
      </c>
      <c r="S26" s="175">
        <f>IF(OR(AND(H26="Yes",M26&lt;&gt;"Not Tested",N26&lt;&gt;"",N26&lt;1),COUNTIFS(H27:H36,"Yes",M27:M36,"Not Met")+COUNTIFS(H27:H36,"Yes",M27:M36,"N/A")&gt;0),1,0)</f>
        <v/>
      </c>
      <c r="T26" s="175" t="inlineStr">
        <is>
          <t>Criterion</t>
        </is>
      </c>
      <c r="U26" s="175" t="n"/>
      <c r="V26" s="175">
        <f>COUNTA(A27:A36)-COUNTIF(M27:M36,"Not Tested")</f>
        <v/>
      </c>
      <c r="W26" s="175">
        <f>IF(AND(T26="Criterion",I26&gt;0,M26&lt;&gt;"Not Tested",N26&lt;&gt;"",OR(N(N26)&lt;1,S26=1)),A26,"")</f>
        <v/>
      </c>
    </row>
    <row r="27" ht="29" customHeight="1" s="125">
      <c r="A27" s="193" t="inlineStr">
        <is>
          <t>L4-04.1</t>
        </is>
      </c>
      <c r="B27" s="194" t="inlineStr">
        <is>
          <t>↳ sub-item</t>
        </is>
      </c>
      <c r="C27" s="193" t="inlineStr">
        <is>
          <t>Patient full name — imported without re-typing</t>
        </is>
      </c>
      <c r="D27" s="195" t="inlineStr">
        <is>
          <t>(part of L4-04)</t>
        </is>
      </c>
      <c r="E27" s="196" t="n"/>
      <c r="F27" s="196" t="n"/>
      <c r="G27" s="196" t="n"/>
      <c r="H27" s="196" t="n"/>
      <c r="I27" s="196" t="n"/>
      <c r="J27" s="196" t="n"/>
      <c r="K27" s="196" t="n"/>
      <c r="L27" s="196" t="n"/>
      <c r="M27" s="197" t="inlineStr">
        <is>
          <t>Not Tested</t>
        </is>
      </c>
      <c r="N27" s="196" t="n"/>
      <c r="O27" s="193">
        <f>IF(M27="Not Met","Needs compliance",IF(M27="Not Tested","Not yet tested",""))</f>
        <v/>
      </c>
      <c r="P27" s="166" t="n"/>
      <c r="T27" s="124" t="inlineStr">
        <is>
          <t>Sub</t>
        </is>
      </c>
      <c r="U27" s="124">
        <f>IF(M27="Not Met","("&amp;1&amp;") "&amp;IF(H27="Yes","★ ","")&amp;C27,"")</f>
        <v/>
      </c>
    </row>
    <row r="28" ht="15.5" customHeight="1" s="125">
      <c r="A28" s="193" t="inlineStr">
        <is>
          <t>L4-04.2</t>
        </is>
      </c>
      <c r="B28" s="194" t="inlineStr">
        <is>
          <t>↳ sub-item</t>
        </is>
      </c>
      <c r="C28" s="193" t="inlineStr">
        <is>
          <t>Birth date — imported without re-typing</t>
        </is>
      </c>
      <c r="D28" s="195" t="inlineStr">
        <is>
          <t>(part of L4-04)</t>
        </is>
      </c>
      <c r="E28" s="196" t="n"/>
      <c r="F28" s="196" t="n"/>
      <c r="G28" s="196" t="n"/>
      <c r="H28" s="196" t="n"/>
      <c r="I28" s="196" t="n"/>
      <c r="J28" s="196" t="n"/>
      <c r="K28" s="196" t="n"/>
      <c r="L28" s="196" t="n"/>
      <c r="M28" s="197" t="inlineStr">
        <is>
          <t>Not Tested</t>
        </is>
      </c>
      <c r="N28" s="196" t="n"/>
      <c r="O28" s="193">
        <f>IF(M28="Not Met","Needs compliance",IF(M28="Not Tested","Not yet tested",""))</f>
        <v/>
      </c>
      <c r="P28" s="166" t="n"/>
      <c r="T28" s="124" t="inlineStr">
        <is>
          <t>Sub</t>
        </is>
      </c>
      <c r="U28" s="124">
        <f>IF(M28="Not Met","("&amp;2&amp;") "&amp;IF(H28="Yes","★ ","")&amp;C28,"")</f>
        <v/>
      </c>
    </row>
    <row r="29" ht="15.5" customHeight="1" s="125">
      <c r="A29" s="193" t="inlineStr">
        <is>
          <t>L4-04.3</t>
        </is>
      </c>
      <c r="B29" s="194" t="inlineStr">
        <is>
          <t>↳ sub-item</t>
        </is>
      </c>
      <c r="C29" s="193" t="inlineStr">
        <is>
          <t>Sex — imported without re-typing</t>
        </is>
      </c>
      <c r="D29" s="195" t="inlineStr">
        <is>
          <t>(part of L4-04)</t>
        </is>
      </c>
      <c r="E29" s="196" t="n"/>
      <c r="F29" s="196" t="n"/>
      <c r="G29" s="196" t="n"/>
      <c r="H29" s="196" t="n"/>
      <c r="I29" s="196" t="n"/>
      <c r="J29" s="196" t="n"/>
      <c r="K29" s="196" t="n"/>
      <c r="L29" s="196" t="n"/>
      <c r="M29" s="197" t="inlineStr">
        <is>
          <t>Not Tested</t>
        </is>
      </c>
      <c r="N29" s="196" t="n"/>
      <c r="O29" s="193">
        <f>IF(M29="Not Met","Needs compliance",IF(M29="Not Tested","Not yet tested",""))</f>
        <v/>
      </c>
      <c r="P29" s="166" t="n"/>
      <c r="T29" s="124" t="inlineStr">
        <is>
          <t>Sub</t>
        </is>
      </c>
      <c r="U29" s="124">
        <f>IF(M29="Not Met","("&amp;3&amp;") "&amp;IF(H29="Yes","★ ","")&amp;C29,"")</f>
        <v/>
      </c>
    </row>
    <row r="30" ht="29" customHeight="1" s="125">
      <c r="A30" s="193" t="inlineStr">
        <is>
          <t>L4-04.4</t>
        </is>
      </c>
      <c r="B30" s="194" t="inlineStr">
        <is>
          <t>↳ sub-item</t>
        </is>
      </c>
      <c r="C30" s="193" t="inlineStr">
        <is>
          <t>PhilSys number — imported without re-typing</t>
        </is>
      </c>
      <c r="D30" s="195" t="inlineStr">
        <is>
          <t>(part of L4-04)</t>
        </is>
      </c>
      <c r="E30" s="196" t="n"/>
      <c r="F30" s="196" t="n"/>
      <c r="G30" s="196" t="n"/>
      <c r="H30" s="196" t="n"/>
      <c r="I30" s="196" t="n"/>
      <c r="J30" s="196" t="n"/>
      <c r="K30" s="196" t="n"/>
      <c r="L30" s="196" t="n"/>
      <c r="M30" s="197" t="inlineStr">
        <is>
          <t>Not Tested</t>
        </is>
      </c>
      <c r="N30" s="196" t="n"/>
      <c r="O30" s="193">
        <f>IF(M30="Not Met","Needs compliance",IF(M30="Not Tested","Not yet tested",""))</f>
        <v/>
      </c>
      <c r="P30" s="166" t="n"/>
      <c r="T30" s="124" t="inlineStr">
        <is>
          <t>Sub</t>
        </is>
      </c>
      <c r="U30" s="124">
        <f>IF(M30="Not Met","("&amp;4&amp;") "&amp;IF(H30="Yes","★ ","")&amp;C30,"")</f>
        <v/>
      </c>
    </row>
    <row r="31" ht="29" customHeight="1" s="125">
      <c r="A31" s="193" t="inlineStr">
        <is>
          <t>L4-04.5</t>
        </is>
      </c>
      <c r="B31" s="194" t="inlineStr">
        <is>
          <t>↳ sub-item</t>
        </is>
      </c>
      <c r="C31" s="193" t="inlineStr">
        <is>
          <t>PhilHealth ID — imported without re-typing</t>
        </is>
      </c>
      <c r="D31" s="195" t="inlineStr">
        <is>
          <t>(part of L4-04)</t>
        </is>
      </c>
      <c r="E31" s="196" t="n"/>
      <c r="F31" s="196" t="n"/>
      <c r="G31" s="196" t="n"/>
      <c r="H31" s="196" t="n"/>
      <c r="I31" s="196" t="n"/>
      <c r="J31" s="196" t="n"/>
      <c r="K31" s="196" t="n"/>
      <c r="L31" s="196" t="n"/>
      <c r="M31" s="197" t="inlineStr">
        <is>
          <t>Not Tested</t>
        </is>
      </c>
      <c r="N31" s="196" t="n"/>
      <c r="O31" s="193">
        <f>IF(M31="Not Met","Needs compliance",IF(M31="Not Tested","Not yet tested",""))</f>
        <v/>
      </c>
      <c r="P31" s="166" t="n"/>
      <c r="T31" s="124" t="inlineStr">
        <is>
          <t>Sub</t>
        </is>
      </c>
      <c r="U31" s="124">
        <f>IF(M31="Not Met","("&amp;5&amp;") "&amp;IF(H31="Yes","★ ","")&amp;C31,"")</f>
        <v/>
      </c>
    </row>
    <row r="32" ht="29" customHeight="1" s="125">
      <c r="A32" s="193" t="inlineStr">
        <is>
          <t>L4-04.6</t>
        </is>
      </c>
      <c r="B32" s="194" t="inlineStr">
        <is>
          <t>↳ sub-item</t>
        </is>
      </c>
      <c r="C32" s="193" t="inlineStr">
        <is>
          <t>Patient address — imported without re-typing</t>
        </is>
      </c>
      <c r="D32" s="195" t="inlineStr">
        <is>
          <t>(part of L4-04)</t>
        </is>
      </c>
      <c r="E32" s="196" t="n"/>
      <c r="F32" s="196" t="n"/>
      <c r="G32" s="196" t="n"/>
      <c r="H32" s="196" t="n"/>
      <c r="I32" s="196" t="n"/>
      <c r="J32" s="196" t="n"/>
      <c r="K32" s="196" t="n"/>
      <c r="L32" s="196" t="n"/>
      <c r="M32" s="197" t="inlineStr">
        <is>
          <t>Not Tested</t>
        </is>
      </c>
      <c r="N32" s="196" t="n"/>
      <c r="O32" s="193">
        <f>IF(M32="Not Met","Needs compliance",IF(M32="Not Tested","Not yet tested",""))</f>
        <v/>
      </c>
      <c r="P32" s="166" t="n"/>
      <c r="T32" s="124" t="inlineStr">
        <is>
          <t>Sub</t>
        </is>
      </c>
      <c r="U32" s="124">
        <f>IF(M32="Not Met","("&amp;6&amp;") "&amp;IF(H32="Yes","★ ","")&amp;C32,"")</f>
        <v/>
      </c>
    </row>
    <row r="33" ht="29" customHeight="1" s="125">
      <c r="A33" s="193" t="inlineStr">
        <is>
          <t>L4-04.7</t>
        </is>
      </c>
      <c r="B33" s="194" t="inlineStr">
        <is>
          <t>↳ sub-item</t>
        </is>
      </c>
      <c r="C33" s="193" t="inlineStr">
        <is>
          <t>Contact number — imported without re-typing</t>
        </is>
      </c>
      <c r="D33" s="195" t="inlineStr">
        <is>
          <t>(part of L4-04)</t>
        </is>
      </c>
      <c r="E33" s="196" t="n"/>
      <c r="F33" s="196" t="n"/>
      <c r="G33" s="196" t="n"/>
      <c r="H33" s="196" t="n"/>
      <c r="I33" s="196" t="n"/>
      <c r="J33" s="196" t="n"/>
      <c r="K33" s="196" t="n"/>
      <c r="L33" s="196" t="n"/>
      <c r="M33" s="197" t="inlineStr">
        <is>
          <t>Not Tested</t>
        </is>
      </c>
      <c r="N33" s="196" t="n"/>
      <c r="O33" s="193">
        <f>IF(M33="Not Met","Needs compliance",IF(M33="Not Tested","Not yet tested",""))</f>
        <v/>
      </c>
      <c r="P33" s="166" t="n"/>
      <c r="T33" s="124" t="inlineStr">
        <is>
          <t>Sub</t>
        </is>
      </c>
      <c r="U33" s="124">
        <f>IF(M33="Not Met","("&amp;7&amp;") "&amp;IF(H33="Yes","★ ","")&amp;C33,"")</f>
        <v/>
      </c>
    </row>
    <row r="34" ht="29" customHeight="1" s="125">
      <c r="A34" s="193" t="inlineStr">
        <is>
          <t>L4-04.8</t>
        </is>
      </c>
      <c r="B34" s="194" t="inlineStr">
        <is>
          <t>↳ sub-item</t>
        </is>
      </c>
      <c r="C34" s="193" t="inlineStr">
        <is>
          <t>Chief complaint — imported without re-typing</t>
        </is>
      </c>
      <c r="D34" s="195" t="inlineStr">
        <is>
          <t>(part of L4-04)</t>
        </is>
      </c>
      <c r="E34" s="196" t="n"/>
      <c r="F34" s="196" t="n"/>
      <c r="G34" s="196" t="n"/>
      <c r="H34" s="196" t="n"/>
      <c r="I34" s="196" t="n"/>
      <c r="J34" s="196" t="n"/>
      <c r="K34" s="196" t="n"/>
      <c r="L34" s="196" t="n"/>
      <c r="M34" s="197" t="inlineStr">
        <is>
          <t>Not Tested</t>
        </is>
      </c>
      <c r="N34" s="196" t="n"/>
      <c r="O34" s="193">
        <f>IF(M34="Not Met","Needs compliance",IF(M34="Not Tested","Not yet tested",""))</f>
        <v/>
      </c>
      <c r="P34" s="166" t="n"/>
      <c r="T34" s="124" t="inlineStr">
        <is>
          <t>Sub</t>
        </is>
      </c>
      <c r="U34" s="124">
        <f>IF(M34="Not Met","("&amp;8&amp;") "&amp;IF(H34="Yes","★ ","")&amp;C34,"")</f>
        <v/>
      </c>
    </row>
    <row r="35" ht="29" customHeight="1" s="125">
      <c r="A35" s="193" t="inlineStr">
        <is>
          <t>L4-04.9</t>
        </is>
      </c>
      <c r="B35" s="194" t="inlineStr">
        <is>
          <t>↳ sub-item</t>
        </is>
      </c>
      <c r="C35" s="193" t="inlineStr">
        <is>
          <t>Working impression — imported without re-typing</t>
        </is>
      </c>
      <c r="D35" s="195" t="inlineStr">
        <is>
          <t>(part of L4-04)</t>
        </is>
      </c>
      <c r="E35" s="196" t="n"/>
      <c r="F35" s="196" t="n"/>
      <c r="G35" s="196" t="n"/>
      <c r="H35" s="196" t="n"/>
      <c r="I35" s="196" t="n"/>
      <c r="J35" s="196" t="n"/>
      <c r="K35" s="196" t="n"/>
      <c r="L35" s="196" t="n"/>
      <c r="M35" s="197" t="inlineStr">
        <is>
          <t>Not Tested</t>
        </is>
      </c>
      <c r="N35" s="196" t="n"/>
      <c r="O35" s="193">
        <f>IF(M35="Not Met","Needs compliance",IF(M35="Not Tested","Not yet tested",""))</f>
        <v/>
      </c>
      <c r="P35" s="166" t="n"/>
      <c r="T35" s="124" t="inlineStr">
        <is>
          <t>Sub</t>
        </is>
      </c>
      <c r="U35" s="124">
        <f>IF(M35="Not Met","("&amp;9&amp;") "&amp;IF(H35="Yes","★ ","")&amp;C35,"")</f>
        <v/>
      </c>
    </row>
    <row r="36" ht="29" customHeight="1" s="125">
      <c r="A36" s="193" t="inlineStr">
        <is>
          <t>L4-04.10</t>
        </is>
      </c>
      <c r="B36" s="194" t="inlineStr">
        <is>
          <t>↳ sub-item</t>
        </is>
      </c>
      <c r="C36" s="193" t="inlineStr">
        <is>
          <t>Blood pressure — imported without re-typing</t>
        </is>
      </c>
      <c r="D36" s="195" t="inlineStr">
        <is>
          <t>(part of L4-04)</t>
        </is>
      </c>
      <c r="E36" s="196" t="n"/>
      <c r="F36" s="196" t="n"/>
      <c r="G36" s="196" t="n"/>
      <c r="H36" s="196" t="n"/>
      <c r="I36" s="196" t="n"/>
      <c r="J36" s="196" t="n"/>
      <c r="K36" s="196" t="n"/>
      <c r="L36" s="196" t="n"/>
      <c r="M36" s="197" t="inlineStr">
        <is>
          <t>Not Tested</t>
        </is>
      </c>
      <c r="N36" s="196" t="n"/>
      <c r="O36" s="193">
        <f>IF(M36="Not Met","Needs compliance",IF(M36="Not Tested","Not yet tested",""))</f>
        <v/>
      </c>
      <c r="P36" s="166" t="n"/>
      <c r="T36" s="124" t="inlineStr">
        <is>
          <t>Sub</t>
        </is>
      </c>
      <c r="U36" s="124">
        <f>IF(M36="Not Met","("&amp;10&amp;") "&amp;IF(H36="Yes","★ ","")&amp;C36,"")</f>
        <v/>
      </c>
    </row>
    <row r="37" ht="85" customHeight="1" s="125">
      <c r="A37" s="172" t="inlineStr">
        <is>
          <t>L4-05</t>
        </is>
      </c>
      <c r="B37" s="172" t="inlineStr">
        <is>
          <t>Maturity · Attachments</t>
        </is>
      </c>
      <c r="C37" s="172" t="inlineStr">
        <is>
          <t>Attachments (e.g., laboratory result PDF) sent with the referral can be opened at the receiving facility (Connectathon Issue #23)</t>
        </is>
      </c>
      <c r="D37" s="172" t="inlineStr">
        <is>
          <t xml:space="preserve">Store and retrieve attachments (e.g., laboratory result PDF) so they open at the receiving facility.
Purpose: Lab results travel with the patient.
</t>
        </is>
      </c>
      <c r="E37" s="172" t="inlineStr">
        <is>
          <t>Attach the Test Data lab file (TS1-09); Met if it opens correctly at the receiving EMR.</t>
        </is>
      </c>
      <c r="F37" s="172" t="inlineStr">
        <is>
          <t>Screenshot of opened file</t>
        </is>
      </c>
      <c r="G37" s="172" t="inlineStr">
        <is>
          <t>Validator + server-side check + Observer</t>
        </is>
      </c>
      <c r="H37" s="188" t="inlineStr">
        <is>
          <t>No</t>
        </is>
      </c>
      <c r="I37" s="172" t="n">
        <v>1</v>
      </c>
      <c r="J37" s="172" t="inlineStr">
        <is>
          <t>Binary</t>
        </is>
      </c>
      <c r="K37" s="189" t="n"/>
      <c r="L37" s="189" t="n"/>
      <c r="M37" s="190" t="inlineStr">
        <is>
          <t>Not Tested</t>
        </is>
      </c>
      <c r="N37" s="191">
        <f>IF(M37="N/A",IF(H37="Yes",0,""),IF(M37="Not Tested",0,IF(J37="Tier",IF(M37="Fully integrated",1,IF(M37="Standalone - manual encoding",0.5,0)),IF(J37="Binary",IF(M37="Met",1,0),IF(M37="Counted",IF(N(K37)&gt;0,IF(J37="All-or-nothing",IF(N(L37)&gt;=K37,1,0),MIN(N(L37)/K37,1)),0),0)))))</f>
        <v/>
      </c>
      <c r="O37" s="172">
        <f>IF(M37="Not Met","Needs compliance",IF(M37="Not Tested","Not yet tested",""))</f>
        <v/>
      </c>
      <c r="P37" s="173" t="n"/>
      <c r="Q37" s="175">
        <f>IF(N37="",0,I37)</f>
        <v/>
      </c>
      <c r="R37" s="175">
        <f>IF(N37="",0,I37*N37)</f>
        <v/>
      </c>
      <c r="S37" s="175">
        <f>IF(AND(H37="Yes",M37&lt;&gt;"Not Tested",N37&lt;&gt;"",N37&lt;1),1,0)</f>
        <v/>
      </c>
      <c r="T37" s="175" t="inlineStr">
        <is>
          <t>Criterion</t>
        </is>
      </c>
      <c r="U37" s="175" t="n"/>
      <c r="V37" s="175" t="n"/>
      <c r="W37" s="175">
        <f>IF(AND(T37="Criterion",I37&gt;0,M37&lt;&gt;"Not Tested",N37&lt;&gt;"",OR(N(N37)&lt;1,S37=1)),A37,"")</f>
        <v/>
      </c>
    </row>
    <row r="38" ht="71.5" customHeight="1" s="125">
      <c r="A38" s="172" t="inlineStr">
        <is>
          <t>L4-10</t>
        </is>
      </c>
      <c r="B38" s="172" t="inlineStr">
        <is>
          <t>Core-track · Workflow</t>
        </is>
      </c>
      <c r="C38" s="172" t="inlineStr">
        <is>
          <t>Multi-tier referral: primary → district → apex preserves the chain (each step linked to the previous)</t>
        </is>
      </c>
      <c r="D38" s="172" t="inlineStr">
        <is>
          <t xml:space="preserve">Link each onward referral to the previous one as defined in the IG.
Purpose: Supports real escalation of care.
</t>
        </is>
      </c>
      <c r="E38" s="172" t="inlineStr">
        <is>
          <t>Perform a 3-step referral chain; Met if the SHR shows each referral linked to the previous one.</t>
        </is>
      </c>
      <c r="F38" s="172" t="inlineStr">
        <is>
          <t>SHR resources for each step</t>
        </is>
      </c>
      <c r="G38" s="172" t="inlineStr">
        <is>
          <t>Validator (server-side check)</t>
        </is>
      </c>
      <c r="H38" s="188" t="inlineStr">
        <is>
          <t>No</t>
        </is>
      </c>
      <c r="I38" s="172" t="n">
        <v>1</v>
      </c>
      <c r="J38" s="172" t="inlineStr">
        <is>
          <t>Binary</t>
        </is>
      </c>
      <c r="K38" s="189" t="n"/>
      <c r="L38" s="189" t="n"/>
      <c r="M38" s="190" t="inlineStr">
        <is>
          <t>Not Tested</t>
        </is>
      </c>
      <c r="N38" s="191">
        <f>IF(M38="N/A",IF(H38="Yes",0,""),IF(M38="Not Tested",0,IF(J38="Tier",IF(M38="Fully integrated",1,IF(M38="Standalone - manual encoding",0.5,0)),IF(J38="Binary",IF(M38="Met",1,0),IF(M38="Counted",IF(N(K38)&gt;0,IF(J38="All-or-nothing",IF(N(L38)&gt;=K38,1,0),MIN(N(L38)/K38,1)),0),0)))))</f>
        <v/>
      </c>
      <c r="O38" s="172">
        <f>IF(M38="Not Met","Needs compliance",IF(M38="Not Tested","Not yet tested",""))</f>
        <v/>
      </c>
      <c r="P38" s="173" t="n"/>
      <c r="Q38" s="175">
        <f>IF(N38="",0,I38)</f>
        <v/>
      </c>
      <c r="R38" s="175">
        <f>IF(N38="",0,I38*N38)</f>
        <v/>
      </c>
      <c r="S38" s="175">
        <f>IF(AND(H38="Yes",M38&lt;&gt;"Not Tested",N38&lt;&gt;"",N38&lt;1),1,0)</f>
        <v/>
      </c>
      <c r="T38" s="175" t="inlineStr">
        <is>
          <t>Criterion</t>
        </is>
      </c>
      <c r="U38" s="175" t="n"/>
      <c r="V38" s="175" t="n"/>
      <c r="W38" s="175">
        <f>IF(AND(T38="Criterion",I38&gt;0,M38&lt;&gt;"Not Tested",N38&lt;&gt;"",OR(N(N38)&lt;1,S38=1)),A38,"")</f>
        <v/>
      </c>
    </row>
    <row r="39" ht="98.5" customHeight="1" s="125">
      <c r="A39" s="172" t="inlineStr">
        <is>
          <t>L4-11</t>
        </is>
      </c>
      <c r="B39" s="172" t="inlineStr">
        <is>
          <t>Maturity · Workflow</t>
        </is>
      </c>
      <c r="C39" s="172" t="inlineStr">
        <is>
          <t>Referral can be cancelled/revoked by the referring facility, and the receiving facility sees the cancellation (Connectathon Issue #19)</t>
        </is>
      </c>
      <c r="D39" s="172" t="inlineStr">
        <is>
          <t xml:space="preserve">Support cancel / revoke of a referral and send the status to the receiving facility (if supported by the IG version).
Purpose: Prevents facilities preparing for patients who are not coming.
</t>
        </is>
      </c>
      <c r="E39" s="172" t="inlineStr">
        <is>
          <t>Cancel one test referral; Met if the receiving EMR shows it as cancelled. Mark N/A with reason if not yet supported by the IG version tested.</t>
        </is>
      </c>
      <c r="F39" s="172" t="inlineStr">
        <is>
          <t>Screenshots at both EMRs</t>
        </is>
      </c>
      <c r="G39" s="172" t="inlineStr">
        <is>
          <t>Validator + server-side check + Observer</t>
        </is>
      </c>
      <c r="H39" s="188" t="inlineStr">
        <is>
          <t>No</t>
        </is>
      </c>
      <c r="I39" s="172" t="n">
        <v>1</v>
      </c>
      <c r="J39" s="172" t="inlineStr">
        <is>
          <t>Binary</t>
        </is>
      </c>
      <c r="K39" s="189" t="n"/>
      <c r="L39" s="189" t="n"/>
      <c r="M39" s="190" t="inlineStr">
        <is>
          <t>Not Tested</t>
        </is>
      </c>
      <c r="N39" s="191">
        <f>IF(M39="N/A",IF(H39="Yes",0,""),IF(M39="Not Tested",0,IF(J39="Tier",IF(M39="Fully integrated",1,IF(M39="Standalone - manual encoding",0.5,0)),IF(J39="Binary",IF(M39="Met",1,0),IF(M39="Counted",IF(N(K39)&gt;0,IF(J39="All-or-nothing",IF(N(L39)&gt;=K39,1,0),MIN(N(L39)/K39,1)),0),0)))))</f>
        <v/>
      </c>
      <c r="O39" s="172">
        <f>IF(M39="Not Met","Needs compliance",IF(M39="Not Tested","Not yet tested",""))</f>
        <v/>
      </c>
      <c r="P39" s="173" t="n"/>
      <c r="Q39" s="175">
        <f>IF(N39="",0,I39)</f>
        <v/>
      </c>
      <c r="R39" s="175">
        <f>IF(N39="",0,I39*N39)</f>
        <v/>
      </c>
      <c r="S39" s="175">
        <f>IF(AND(H39="Yes",M39&lt;&gt;"Not Tested",N39&lt;&gt;"",N39&lt;1),1,0)</f>
        <v/>
      </c>
      <c r="T39" s="175" t="inlineStr">
        <is>
          <t>Criterion</t>
        </is>
      </c>
      <c r="U39" s="175" t="n"/>
      <c r="V39" s="175" t="n"/>
      <c r="W39" s="175">
        <f>IF(AND(T39="Criterion",I39&gt;0,M39&lt;&gt;"Not Tested",N39&lt;&gt;"",OR(N(N39)&lt;1,S39=1)),A39,"")</f>
        <v/>
      </c>
    </row>
  </sheetData>
  <autoFilter ref="A9:P39"/>
  <mergeCells count="2">
    <mergeCell ref="A2:P2"/>
    <mergeCell ref="G4:L7"/>
  </mergeCells>
  <conditionalFormatting sqref="N10:N39">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39">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39">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0 M12 M13 M14 M16 M17 M18 M19 M20 M21 M22 M23 M24 M25 M27 M28 M29 M30 M31 M32 M33 M34 M35 M36 M37 M38 M39"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oddHeader>&amp;R&amp;7 Version unreleased draft · branch certificate-demo · commit e9c2d50 · built 2026-10-16 09:44 PHT</oddHeader>
    <oddFooter>&amp;C&amp;7 Page &amp;P of &amp;N</oddFooter>
    <evenHeader/>
    <evenFooter/>
    <firstHeader/>
    <firstFooter/>
  </headerFooter>
</worksheet>
</file>

<file path=xl/worksheets/sheet13.xml><?xml version="1.0" encoding="utf-8"?>
<worksheet xmlns="http://schemas.openxmlformats.org/spreadsheetml/2006/main">
  <sheetPr filterMode="0">
    <tabColor rgb="FFFFFF00"/>
    <outlinePr summaryBelow="1" summaryRight="1"/>
    <pageSetUpPr fitToPage="1"/>
  </sheetPr>
  <dimension ref="A1:F62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124" min="1" max="1"/>
    <col width="42" customWidth="1" style="124" min="2" max="2"/>
    <col width="11" customWidth="1" style="124" min="3" max="3"/>
    <col width="15" customWidth="1" style="124" min="4" max="4"/>
    <col width="8" customWidth="1" style="124" min="5" max="5"/>
    <col width="26" customWidth="1" style="124" min="6" max="6"/>
  </cols>
  <sheetData>
    <row r="1" ht="13.5" customHeight="1" s="125">
      <c r="A1" s="198" t="inlineStr">
        <is>
          <t>Republic of the Philippines</t>
        </is>
      </c>
    </row>
    <row r="2" ht="13.5" customHeight="1" s="125">
      <c r="A2" s="199" t="inlineStr">
        <is>
          <t>Department of Health</t>
        </is>
      </c>
    </row>
    <row r="3" ht="13.5" customHeight="1" s="125">
      <c r="A3" s="200">
        <f>UPPER('System Profile'!C33)</f>
        <v/>
      </c>
    </row>
    <row r="4" ht="13.5" customHeight="1" s="125">
      <c r="A4" s="199" t="n"/>
    </row>
    <row r="5" ht="6" customHeight="1" s="125"/>
    <row r="6" ht="15.75" customHeight="1" s="125">
      <c r="A6" s="201" t="inlineStr">
        <is>
          <t>Healthcare Interoperability Readiness Matrix for EMR Systems</t>
        </is>
      </c>
    </row>
    <row r="7" ht="18" customHeight="1" s="125">
      <c r="A7" s="201" t="inlineStr">
        <is>
          <t>EVALUATION REPORT</t>
        </is>
      </c>
    </row>
    <row r="8" ht="3" customHeight="1" s="125"/>
    <row r="9" ht="15" customHeight="1" s="125">
      <c r="A9" s="202" t="inlineStr">
        <is>
          <t>Background</t>
        </is>
      </c>
      <c r="B9" s="203" t="n"/>
      <c r="C9" s="203" t="n"/>
      <c r="D9" s="203" t="n"/>
      <c r="E9" s="203" t="n"/>
      <c r="F9" s="204" t="n"/>
    </row>
    <row r="10" ht="155.25" customHeight="1" s="125">
      <c r="A10" s="205" t="inlineStr">
        <is>
          <t>The Department of Health (DOH) ensures that Electronic Medical Record (EMR) systems joining the Health Information Exchange (HIE) are interoperable. This supports the Universal Health Care Act's vision of coordinated and traceable referral across Health Care Provider Networks. Interoperability requires that different EMR systems exchange patient and referral information that every receiving system can read, understand and use without re-entry. This depends on a common data structure under the national HL7 FHIR standards, shared code systems and value sets, and the consistent use of national identifiers and registries for patients, health workers and facilities.
The Healthcare Interoperability Readiness Matrix for EMR Systems follow the validation process of registration, assessment of submitted documents, validation and issuance of certificate. They determine whether an EMR system offered by a third-party vendor or an in-house developer conforms to the applicable national FHIR Implementation Guides before it may be used in the HIE for electronic referral. The criteria check that referral data is complete and correctly coded on the shared health record, that the receiving system displays it as sent, that status updates flow back to the referring facility, and that errors and interruptions are handled safely. The results may serve as the basis for issuing a certificate of conformance for use in the HIE.
The objective of the evaluation is to identify any gaps in a system's conformance before it is deployed to health facilities. The Developer's Guide and Validator's Guide for each criterion let vendors prepare in advance, allow every system to be evaluated consistently, and help management identify which areas require correction or technical support.</t>
        </is>
      </c>
      <c r="B10" s="203" t="n"/>
      <c r="C10" s="203" t="n"/>
      <c r="D10" s="203" t="n"/>
      <c r="E10" s="203" t="n"/>
      <c r="F10" s="204" t="n"/>
    </row>
    <row r="11" ht="3" customHeight="1" s="125"/>
    <row r="12" ht="15" customHeight="1" s="125">
      <c r="A12" s="202" t="inlineStr">
        <is>
          <t>Scope and Coverage</t>
        </is>
      </c>
      <c r="B12" s="203" t="n"/>
      <c r="C12" s="203" t="n"/>
      <c r="D12" s="203" t="n"/>
      <c r="E12" s="203" t="n"/>
      <c r="F12" s="204" t="n"/>
    </row>
    <row r="13" ht="73.5" customHeight="1" s="125">
      <c r="A13" s="205" t="inlineStr">
        <is>
          <t>This testing criteria applies to EMR systems offered by third-party vendors or developed in-house that seek to be used in the HIE for electronic referral. It evaluates the EMR system itself, as a product, once for each version submitted. Testing covers the vendor's application and commitment, product documentation, terminology, referral submission and retrieval, error and exception handling, security, reports, and advanced interoperability features. All tests are conducted by the Regional Validation Team — the CHD ICT Unit with validators from PhilHealth and DICT, and witnessed by observers — on the DOH test environment (sandbox), using designated test facilities and fictional test data. No actual patient information is used. A new version or major release of the system, or an update to the Implementation Guides, requires re-testing. The engagement, deployment and operation of the system at an actual health facility are outside the scope of this form. The security part is conformance testing of defined controls and is not equivalent to a vulnerability assessment and penetration test (VAPT) or a full cybersecurity assessment.</t>
        </is>
      </c>
      <c r="B13" s="203" t="n"/>
      <c r="C13" s="203" t="n"/>
      <c r="D13" s="203" t="n"/>
      <c r="E13" s="203" t="n"/>
      <c r="F13" s="204" t="n"/>
    </row>
    <row r="14" ht="2.25" customHeight="1" s="125"/>
    <row r="15" ht="15" customHeight="1" s="125">
      <c r="A15" s="202" t="inlineStr">
        <is>
          <t>A. SYSTEM PROFILE</t>
        </is>
      </c>
      <c r="B15" s="203" t="n"/>
      <c r="C15" s="203" t="n"/>
      <c r="D15" s="203" t="n"/>
      <c r="E15" s="203" t="n"/>
      <c r="F15" s="204" t="n"/>
    </row>
    <row r="16" ht="21" customHeight="1" s="125">
      <c r="A16" s="206" t="inlineStr">
        <is>
          <t>System name</t>
        </is>
      </c>
      <c r="B16" s="207">
        <f>IF('System Profile'!C7="","—",'System Profile'!C7)</f>
        <v/>
      </c>
      <c r="C16" s="206" t="inlineStr">
        <is>
          <t>Version / build</t>
        </is>
      </c>
      <c r="D16" s="204" t="n"/>
      <c r="E16" s="207">
        <f>IF('System Profile'!C8="","—",'System Profile'!C8)</f>
        <v/>
      </c>
      <c r="F16" s="204" t="n"/>
    </row>
    <row r="17" ht="21" customHeight="1" s="125">
      <c r="A17" s="206" t="inlineStr">
        <is>
          <t>Vendor / developer</t>
        </is>
      </c>
      <c r="B17" s="207">
        <f>IF('System Profile'!C6="","—",'System Profile'!C6)</f>
        <v/>
      </c>
      <c r="C17" s="206" t="inlineStr">
        <is>
          <t>Applicant category</t>
        </is>
      </c>
      <c r="D17" s="204" t="n"/>
      <c r="E17" s="207">
        <f>IF('System Profile'!C14="","—",'System Profile'!C14)</f>
        <v/>
      </c>
      <c r="F17" s="204" t="n"/>
    </row>
    <row r="18" ht="21" customHeight="1" s="125">
      <c r="A18" s="206" t="inlineStr">
        <is>
          <t>Deployment model</t>
        </is>
      </c>
      <c r="B18" s="207">
        <f>IF('System Profile'!C12="","—",'System Profile'!C12)</f>
        <v/>
      </c>
      <c r="C18" s="206" t="inlineStr">
        <is>
          <t>Evaluation type</t>
        </is>
      </c>
      <c r="D18" s="204" t="n"/>
      <c r="E18" s="207">
        <f>IF('System Profile'!C32="","—",'System Profile'!C32)</f>
        <v/>
      </c>
      <c r="F18" s="204" t="n"/>
    </row>
    <row r="19" ht="21" customHeight="1" s="125">
      <c r="A19" s="206" t="inlineStr">
        <is>
          <t>Application no.</t>
        </is>
      </c>
      <c r="B19" s="207">
        <f>IF('System Profile'!C5="","—",'System Profile'!C5)</f>
        <v/>
      </c>
      <c r="C19" s="206" t="inlineStr">
        <is>
          <t>Date application received</t>
        </is>
      </c>
      <c r="D19" s="204" t="n"/>
      <c r="E19" s="207">
        <f>IF('System Profile'!C15="","—",'System Profile'!C15)</f>
        <v/>
      </c>
      <c r="F19" s="204" t="n"/>
    </row>
    <row r="20" ht="21" customHeight="1" s="125">
      <c r="A20" s="206" t="inlineStr">
        <is>
          <t>Technical Lead</t>
        </is>
      </c>
      <c r="B20" s="207">
        <f>IF('System Profile'!C19="","—",'System Profile'!C19)</f>
        <v/>
      </c>
      <c r="C20" s="206" t="inlineStr">
        <is>
          <t>Administrator</t>
        </is>
      </c>
      <c r="D20" s="204" t="n"/>
      <c r="E20" s="207">
        <f>IF('System Profile'!C23="","—",'System Profile'!C23)</f>
        <v/>
      </c>
      <c r="F20" s="204" t="n"/>
    </row>
    <row r="21" ht="21" customHeight="1" s="125">
      <c r="A21" s="206" t="inlineStr">
        <is>
          <t>Validators</t>
        </is>
      </c>
      <c r="B21" s="207">
        <f>IF(COUNTA('System Profile'!C20,'System Profile'!C21,'System Profile'!C22)=0,"—",_xlfn.TEXTJOIN("; ",TRUE(),'System Profile'!C20,'System Profile'!C21,'System Profile'!C22))</f>
        <v/>
      </c>
      <c r="C21" s="206" t="inlineStr">
        <is>
          <t>Observers</t>
        </is>
      </c>
      <c r="D21" s="204" t="n"/>
      <c r="E21" s="207">
        <f>IF(COUNTA('System Profile'!C24,'System Profile'!C25)=0,"—",_xlfn.TEXTJOIN("; ",TRUE(),'System Profile'!C24,'System Profile'!C25))</f>
        <v/>
      </c>
      <c r="F21" s="204" t="n"/>
    </row>
    <row r="22" ht="21" customHeight="1" s="125">
      <c r="A22" s="206" t="inlineStr">
        <is>
          <t>IG versions</t>
        </is>
      </c>
      <c r="B22" s="207">
        <f>"PH Core "&amp;IF('System Profile'!C37="","—",'System Profile'!C37)&amp;" · PHeReF "&amp;IF('System Profile'!C38="","—",'System Profile'!C38)</f>
        <v/>
      </c>
      <c r="C22" s="206" t="inlineStr">
        <is>
          <t>Conducting office</t>
        </is>
      </c>
      <c r="D22" s="204" t="n"/>
      <c r="E22" s="207">
        <f>IF('System Profile'!C33="","—",'System Profile'!C33)</f>
        <v/>
      </c>
      <c r="F22" s="204" t="n"/>
    </row>
    <row r="23" ht="4.5" customHeight="1" s="125"/>
    <row r="24" ht="15" customHeight="1" s="125">
      <c r="A24" s="202" t="inlineStr">
        <is>
          <t>B. SUMMARY SCORECARD</t>
        </is>
      </c>
      <c r="B24" s="203" t="n"/>
      <c r="C24" s="203" t="n"/>
      <c r="D24" s="203" t="n"/>
      <c r="E24" s="203" t="n"/>
      <c r="F24" s="204" t="n"/>
    </row>
    <row r="25" ht="24" customHeight="1" s="125">
      <c r="A25" s="208" t="inlineStr">
        <is>
          <t>Level</t>
        </is>
      </c>
      <c r="B25" s="208" t="inlineStr">
        <is>
          <t>Level name · evaluation progress</t>
        </is>
      </c>
      <c r="C25" s="208" t="inlineStr">
        <is>
          <t>Threshold</t>
        </is>
      </c>
      <c r="D25" s="208" t="inlineStr">
        <is>
          <t>Status</t>
        </is>
      </c>
      <c r="E25" s="208" t="inlineStr">
        <is>
          <t>Score</t>
        </is>
      </c>
      <c r="F25" s="208" t="inlineStr">
        <is>
          <t>Items &amp; findings (tested / critical)</t>
        </is>
      </c>
    </row>
    <row r="26" ht="25.5" customHeight="1" s="125">
      <c r="A26" s="209" t="inlineStr">
        <is>
          <t>L0</t>
        </is>
      </c>
      <c r="B26" s="210">
        <f>"Level 0 — Application &amp; Commitment"&amp;CHAR(10)&amp;REPT("█",ROUND('L0 Application'!D7*10,0))&amp;REPT("░",10-ROUND('L0 Application'!D7*10,0))&amp;"  "&amp;TEXT('L0 Application'!D7,"0%")&amp;" evaluated"</f>
        <v/>
      </c>
      <c r="C26" s="211">
        <f>Summary!D7</f>
        <v/>
      </c>
      <c r="D26" s="209">
        <f>Summary!I7</f>
        <v/>
      </c>
      <c r="E26" s="212">
        <f>Summary!C7</f>
        <v/>
      </c>
      <c r="F26" s="213">
        <f>"Items: "&amp;(('L0 Application'!F7)-('L0 Application'!F4))&amp;" of "&amp;('L0 Application'!F7)&amp;" tested"&amp;IF(('L0 Application'!F4)&gt;0," · "&amp;('L0 Application'!F4)&amp;" not tested","")&amp;CHAR(10)&amp;"Critical: "&amp;((COUNTIFS('L0 Application'!H10:H300,"Yes",'L0 Application'!T10:T300,"Criterion"))-(COUNTIFS('L0 Application'!H10:H300,"Yes",'L0 Application'!T10:T300,"Criterion",'L0 Application'!M10:M300,"Not Tested")))&amp;" of "&amp;(COUNTIFS('L0 Application'!H10:H300,"Yes",'L0 Application'!T10:T300,"Criterion"))&amp;" tested"&amp;IF((COUNTIFS('L0 Application'!H10:H300,"Yes",'L0 Application'!T10:T300,"Criterion",'L0 Application'!M10:M300,"Not Tested"))&gt;0," · "&amp;(COUNTIFS('L0 Application'!H10:H300,"Yes",'L0 Application'!T10:T300,"Criterion",'L0 Application'!M10:M300,"Not Tested"))&amp;" not tested","")&amp;IF(('L0 Application'!D6)&gt;0," · "&amp;('L0 Application'!D6)&amp;" NOT MET","")&amp;CHAR(10)&amp;IF(((COUNTIFS('L0 Application'!M10:M300,"Not Met",'L0 Application'!T10:T300,"Criterion")+COUNTIFS('L0 Application'!M10:M300,"Counted",'L0 Application'!N10:N300,"&lt;1",'L0 Application'!T10:T300,"Criterion")))&gt;0,((COUNTIFS('L0 Application'!M10:M300,"Not Met",'L0 Application'!T10:T300,"Criterion")+COUNTIFS('L0 Application'!M10:M300,"Counted",'L0 Application'!N10:N300,"&lt;1",'L0 Application'!T10:T300,"Criterion")))&amp;" item(s) need compliance",IF(('L0 Application'!F4)=0,"No findings","No findings so far"))</f>
        <v/>
      </c>
    </row>
    <row r="27" ht="25.5" customHeight="1" s="125">
      <c r="A27" s="209" t="inlineStr">
        <is>
          <t>L1</t>
        </is>
      </c>
      <c r="B27" s="210">
        <f>"Level 1 — Product Documentation"&amp;CHAR(10)&amp;REPT("█",ROUND('L1 Documentation'!D7*10,0))&amp;REPT("░",10-ROUND('L1 Documentation'!D7*10,0))&amp;"  "&amp;TEXT('L1 Documentation'!D7,"0%")&amp;" evaluated"</f>
        <v/>
      </c>
      <c r="C27" s="211">
        <f>Summary!D8</f>
        <v/>
      </c>
      <c r="D27" s="209">
        <f>Summary!I8</f>
        <v/>
      </c>
      <c r="E27" s="212">
        <f>Summary!C8</f>
        <v/>
      </c>
      <c r="F27" s="213">
        <f>"Items: "&amp;(('L1 Documentation'!F7)-('L1 Documentation'!F4))&amp;" of "&amp;('L1 Documentation'!F7)&amp;" tested"&amp;IF(('L1 Documentation'!F4)&gt;0," · "&amp;('L1 Documentation'!F4)&amp;" not tested","")&amp;CHAR(10)&amp;"Critical: "&amp;((COUNTIFS('L1 Documentation'!H10:H300,"Yes",'L1 Documentation'!T10:T300,"Criterion"))-(COUNTIFS('L1 Documentation'!H10:H300,"Yes",'L1 Documentation'!T10:T300,"Criterion",'L1 Documentation'!M10:M300,"Not Tested")))&amp;" of "&amp;(COUNTIFS('L1 Documentation'!H10:H300,"Yes",'L1 Documentation'!T10:T300,"Criterion"))&amp;" tested"&amp;IF((COUNTIFS('L1 Documentation'!H10:H300,"Yes",'L1 Documentation'!T10:T300,"Criterion",'L1 Documentation'!M10:M300,"Not Tested"))&gt;0," · "&amp;(COUNTIFS('L1 Documentation'!H10:H300,"Yes",'L1 Documentation'!T10:T300,"Criterion",'L1 Documentation'!M10:M300,"Not Tested"))&amp;" not tested","")&amp;IF(('L1 Documentation'!D6)&gt;0," · "&amp;('L1 Documentation'!D6)&amp;" NOT MET","")&amp;CHAR(10)&amp;IF(((COUNTIFS('L1 Documentation'!M10:M300,"Not Met",'L1 Documentation'!T10:T300,"Criterion")+COUNTIFS('L1 Documentation'!M10:M300,"Counted",'L1 Documentation'!N10:N300,"&lt;1",'L1 Documentation'!T10:T300,"Criterion")))&gt;0,((COUNTIFS('L1 Documentation'!M10:M300,"Not Met",'L1 Documentation'!T10:T300,"Criterion")+COUNTIFS('L1 Documentation'!M10:M300,"Counted",'L1 Documentation'!N10:N300,"&lt;1",'L1 Documentation'!T10:T300,"Criterion")))&amp;" item(s) need compliance",IF(('L1 Documentation'!F4)=0,"No findings","No findings so far"))</f>
        <v/>
      </c>
    </row>
    <row r="28" ht="25.5" customHeight="1" s="125">
      <c r="A28" s="214" t="inlineStr">
        <is>
          <t>L2</t>
        </is>
      </c>
      <c r="B28" s="215">
        <f>"Level 2 — Interoperability Testing (all parts)"&amp;CHAR(10)&amp;REPT("█",ROUND(Summary!G9*10,0))&amp;REPT("░",10-ROUND(Summary!G9*10,0))&amp;"  "&amp;TEXT(Summary!G9,"0%")&amp;" evaluated"</f>
        <v/>
      </c>
      <c r="C28" s="216" t="inlineStr">
        <is>
          <t>all parts</t>
        </is>
      </c>
      <c r="D28" s="214">
        <f>Summary!I9</f>
        <v/>
      </c>
      <c r="E28" s="217">
        <f>Summary!C9</f>
        <v/>
      </c>
      <c r="F28" s="218">
        <f>"Items: "&amp;(('L2-A TS0-Terminology'!F7+'L2-B TS1-Submission'!F7+'L2-C TS2-Retrieval'!F7+'L2-D System Resilience'!F7)-('L2-A TS0-Terminology'!F4+'L2-B TS1-Submission'!F4+'L2-C TS2-Retrieval'!F4+'L2-D System Resilience'!F4))&amp;" of "&amp;('L2-A TS0-Terminology'!F7+'L2-B TS1-Submission'!F7+'L2-C TS2-Retrieval'!F7+'L2-D System Resilience'!F7)&amp;" tested"&amp;IF(('L2-A TS0-Terminology'!F4+'L2-B TS1-Submission'!F4+'L2-C TS2-Retrieval'!F4+'L2-D System Resilience'!F4)&gt;0," · "&amp;('L2-A TS0-Terminology'!F4+'L2-B TS1-Submission'!F4+'L2-C TS2-Retrieval'!F4+'L2-D System Resilience'!F4)&amp;" not tested","")&amp;CHAR(10)&amp;"Critical: "&amp;((COUNTIFS('L2-A TS0-Terminology'!H10:H300,"Yes",'L2-A TS0-Terminology'!T10:T300,"Criterion")+COUNTIFS('L2-B TS1-Submission'!H10:H300,"Yes",'L2-B TS1-Submission'!T10:T300,"Criterion")+COUNTIFS('L2-C TS2-Retrieval'!H10:H300,"Yes",'L2-C TS2-Retrieval'!T10:T300,"Criterion")+COUNTIFS('L2-D System Resilience'!H10:H300,"Yes",'L2-D System Resilience'!T10:T300,"Criterion"))-(COUNTIFS('L2-A TS0-Terminology'!H10:H300,"Yes",'L2-A TS0-Terminology'!T10:T300,"Criterion",'L2-A TS0-Terminology'!M10:M300,"Not Tested")+COUNTIFS('L2-B TS1-Submission'!H10:H300,"Yes",'L2-B TS1-Submission'!T10:T300,"Criterion",'L2-B TS1-Submission'!M10:M300,"Not Tested")+COUNTIFS('L2-C TS2-Retrieval'!H10:H300,"Yes",'L2-C TS2-Retrieval'!T10:T300,"Criterion",'L2-C TS2-Retrieval'!M10:M300,"Not Tested")+COUNTIFS('L2-D System Resilience'!H10:H300,"Yes",'L2-D System Resilience'!T10:T300,"Criterion",'L2-D System Resilience'!M10:M300,"Not Tested")))&amp;" of "&amp;(COUNTIFS('L2-A TS0-Terminology'!H10:H300,"Yes",'L2-A TS0-Terminology'!T10:T300,"Criterion")+COUNTIFS('L2-B TS1-Submission'!H10:H300,"Yes",'L2-B TS1-Submission'!T10:T300,"Criterion")+COUNTIFS('L2-C TS2-Retrieval'!H10:H300,"Yes",'L2-C TS2-Retrieval'!T10:T300,"Criterion")+COUNTIFS('L2-D System Resilience'!H10:H300,"Yes",'L2-D System Resilience'!T10:T300,"Criterion"))&amp;" tested"&amp;IF((COUNTIFS('L2-A TS0-Terminology'!H10:H300,"Yes",'L2-A TS0-Terminology'!T10:T300,"Criterion",'L2-A TS0-Terminology'!M10:M300,"Not Tested")+COUNTIFS('L2-B TS1-Submission'!H10:H300,"Yes",'L2-B TS1-Submission'!T10:T300,"Criterion",'L2-B TS1-Submission'!M10:M300,"Not Tested")+COUNTIFS('L2-C TS2-Retrieval'!H10:H300,"Yes",'L2-C TS2-Retrieval'!T10:T300,"Criterion",'L2-C TS2-Retrieval'!M10:M300,"Not Tested")+COUNTIFS('L2-D System Resilience'!H10:H300,"Yes",'L2-D System Resilience'!T10:T300,"Criterion",'L2-D System Resilience'!M10:M300,"Not Tested"))&gt;0," · "&amp;(COUNTIFS('L2-A TS0-Terminology'!H10:H300,"Yes",'L2-A TS0-Terminology'!T10:T300,"Criterion",'L2-A TS0-Terminology'!M10:M300,"Not Tested")+COUNTIFS('L2-B TS1-Submission'!H10:H300,"Yes",'L2-B TS1-Submission'!T10:T300,"Criterion",'L2-B TS1-Submission'!M10:M300,"Not Tested")+COUNTIFS('L2-C TS2-Retrieval'!H10:H300,"Yes",'L2-C TS2-Retrieval'!T10:T300,"Criterion",'L2-C TS2-Retrieval'!M10:M300,"Not Tested")+COUNTIFS('L2-D System Resilience'!H10:H300,"Yes",'L2-D System Resilience'!T10:T300,"Criterion",'L2-D System Resilience'!M10:M300,"Not Tested"))&amp;" not tested","")&amp;IF(('L2-A TS0-Terminology'!D6+'L2-B TS1-Submission'!D6+'L2-C TS2-Retrieval'!D6+'L2-D System Resilience'!D6)&gt;0," · "&amp;('L2-A TS0-Terminology'!D6+'L2-B TS1-Submission'!D6+'L2-C TS2-Retrieval'!D6+'L2-D System Resilience'!D6)&amp;" NOT MET","")&amp;CHAR(10)&amp;IF(((COUNTIFS('L2-A TS0-Terminology'!M10:M300,"Not Met",'L2-A TS0-Terminology'!T10:T300,"Criterion")+COUNTIFS('L2-A TS0-Terminology'!M10:M300,"Counted",'L2-A TS0-Terminology'!N10:N300,"&lt;1",'L2-A TS0-Terminology'!T10:T300,"Criterion"))+(COUNTIFS('L2-B TS1-Submission'!M10:M300,"Not Met",'L2-B TS1-Submission'!T10:T300,"Criterion")+COUNTIFS('L2-B TS1-Submission'!M10:M300,"Counted",'L2-B TS1-Submission'!N10:N300,"&lt;1",'L2-B TS1-Submission'!T10:T300,"Criterion"))+(COUNTIFS('L2-C TS2-Retrieval'!M10:M300,"Not Met",'L2-C TS2-Retrieval'!T10:T300,"Criterion")+COUNTIFS('L2-C TS2-Retrieval'!M10:M300,"Counted",'L2-C TS2-Retrieval'!N10:N300,"&lt;1",'L2-C TS2-Retrieval'!T10:T300,"Criterion"))+(COUNTIFS('L2-D System Resilience'!M10:M300,"Not Met",'L2-D System Resilience'!T10:T300,"Criterion")+COUNTIFS('L2-D System Resilience'!M10:M300,"Counted",'L2-D System Resilience'!N10:N300,"&lt;1",'L2-D System Resilience'!T10:T300,"Criterion")))&gt;0,((COUNTIFS('L2-A TS0-Terminology'!M10:M300,"Not Met",'L2-A TS0-Terminology'!T10:T300,"Criterion")+COUNTIFS('L2-A TS0-Terminology'!M10:M300,"Counted",'L2-A TS0-Terminology'!N10:N300,"&lt;1",'L2-A TS0-Terminology'!T10:T300,"Criterion"))+(COUNTIFS('L2-B TS1-Submission'!M10:M300,"Not Met",'L2-B TS1-Submission'!T10:T300,"Criterion")+COUNTIFS('L2-B TS1-Submission'!M10:M300,"Counted",'L2-B TS1-Submission'!N10:N300,"&lt;1",'L2-B TS1-Submission'!T10:T300,"Criterion"))+(COUNTIFS('L2-C TS2-Retrieval'!M10:M300,"Not Met",'L2-C TS2-Retrieval'!T10:T300,"Criterion")+COUNTIFS('L2-C TS2-Retrieval'!M10:M300,"Counted",'L2-C TS2-Retrieval'!N10:N300,"&lt;1",'L2-C TS2-Retrieval'!T10:T300,"Criterion"))+(COUNTIFS('L2-D System Resilience'!M10:M300,"Not Met",'L2-D System Resilience'!T10:T300,"Criterion")+COUNTIFS('L2-D System Resilience'!M10:M300,"Counted",'L2-D System Resilience'!N10:N300,"&lt;1",'L2-D System Resilience'!T10:T300,"Criterion")))&amp;" item(s) need compliance",IF(('L2-A TS0-Terminology'!F4+'L2-B TS1-Submission'!F4+'L2-C TS2-Retrieval'!F4+'L2-D System Resilience'!F4)=0,"No findings","No findings so far"))</f>
        <v/>
      </c>
    </row>
    <row r="29" ht="25.5" customHeight="1" s="125">
      <c r="A29" s="209" t="inlineStr">
        <is>
          <t>2A</t>
        </is>
      </c>
      <c r="B29" s="207">
        <f>"2A · TS0 Terminology &amp; Registries (gate)"&amp;CHAR(10)&amp;REPT("█",ROUND('L2-A TS0-Terminology'!D7*10,0))&amp;REPT("░",10-ROUND('L2-A TS0-Terminology'!D7*10,0))&amp;"  "&amp;TEXT('L2-A TS0-Terminology'!D7,"0%")&amp;" evaluated"</f>
        <v/>
      </c>
      <c r="C29" s="211">
        <f>Summary!D10</f>
        <v/>
      </c>
      <c r="D29" s="209">
        <f>Summary!H10</f>
        <v/>
      </c>
      <c r="E29" s="212">
        <f>Summary!C10</f>
        <v/>
      </c>
      <c r="F29" s="213">
        <f>"Items: "&amp;(('L2-A TS0-Terminology'!F7)-('L2-A TS0-Terminology'!F4))&amp;" of "&amp;('L2-A TS0-Terminology'!F7)&amp;" tested"&amp;IF(('L2-A TS0-Terminology'!F4)&gt;0," · "&amp;('L2-A TS0-Terminology'!F4)&amp;" not tested","")&amp;CHAR(10)&amp;"Critical: "&amp;((COUNTIFS('L2-A TS0-Terminology'!H10:H300,"Yes",'L2-A TS0-Terminology'!T10:T300,"Criterion"))-(COUNTIFS('L2-A TS0-Terminology'!H10:H300,"Yes",'L2-A TS0-Terminology'!T10:T300,"Criterion",'L2-A TS0-Terminology'!M10:M300,"Not Tested")))&amp;" of "&amp;(COUNTIFS('L2-A TS0-Terminology'!H10:H300,"Yes",'L2-A TS0-Terminology'!T10:T300,"Criterion"))&amp;" tested"&amp;IF((COUNTIFS('L2-A TS0-Terminology'!H10:H300,"Yes",'L2-A TS0-Terminology'!T10:T300,"Criterion",'L2-A TS0-Terminology'!M10:M300,"Not Tested"))&gt;0," · "&amp;(COUNTIFS('L2-A TS0-Terminology'!H10:H300,"Yes",'L2-A TS0-Terminology'!T10:T300,"Criterion",'L2-A TS0-Terminology'!M10:M300,"Not Tested"))&amp;" not tested","")&amp;IF(('L2-A TS0-Terminology'!D6)&gt;0," · "&amp;('L2-A TS0-Terminology'!D6)&amp;" NOT MET","")&amp;CHAR(10)&amp;IF(((COUNTIFS('L2-A TS0-Terminology'!M10:M300,"Not Met",'L2-A TS0-Terminology'!T10:T300,"Criterion")+COUNTIFS('L2-A TS0-Terminology'!M10:M300,"Counted",'L2-A TS0-Terminology'!N10:N300,"&lt;1",'L2-A TS0-Terminology'!T10:T300,"Criterion")))&gt;0,((COUNTIFS('L2-A TS0-Terminology'!M10:M300,"Not Met",'L2-A TS0-Terminology'!T10:T300,"Criterion")+COUNTIFS('L2-A TS0-Terminology'!M10:M300,"Counted",'L2-A TS0-Terminology'!N10:N300,"&lt;1",'L2-A TS0-Terminology'!T10:T300,"Criterion")))&amp;" item(s) need compliance",IF(('L2-A TS0-Terminology'!F4)=0,"No findings","No findings so far"))</f>
        <v/>
      </c>
    </row>
    <row r="30" ht="25.5" customHeight="1" s="125">
      <c r="A30" s="209" t="inlineStr">
        <is>
          <t>2B</t>
        </is>
      </c>
      <c r="B30" s="207">
        <f>"2B · TS1 Submission"&amp;CHAR(10)&amp;REPT("█",ROUND('L2-B TS1-Submission'!D7*10,0))&amp;REPT("░",10-ROUND('L2-B TS1-Submission'!D7*10,0))&amp;"  "&amp;TEXT('L2-B TS1-Submission'!D7,"0%")&amp;" evaluated"</f>
        <v/>
      </c>
      <c r="C30" s="211">
        <f>Summary!D11</f>
        <v/>
      </c>
      <c r="D30" s="209">
        <f>Summary!H11</f>
        <v/>
      </c>
      <c r="E30" s="212">
        <f>Summary!C11</f>
        <v/>
      </c>
      <c r="F30" s="213">
        <f>"Items: "&amp;(('L2-B TS1-Submission'!F7)-('L2-B TS1-Submission'!F4))&amp;" of "&amp;('L2-B TS1-Submission'!F7)&amp;" tested"&amp;IF(('L2-B TS1-Submission'!F4)&gt;0," · "&amp;('L2-B TS1-Submission'!F4)&amp;" not tested","")&amp;CHAR(10)&amp;"Critical: "&amp;((COUNTIFS('L2-B TS1-Submission'!H10:H300,"Yes",'L2-B TS1-Submission'!T10:T300,"Criterion"))-(COUNTIFS('L2-B TS1-Submission'!H10:H300,"Yes",'L2-B TS1-Submission'!T10:T300,"Criterion",'L2-B TS1-Submission'!M10:M300,"Not Tested")))&amp;" of "&amp;(COUNTIFS('L2-B TS1-Submission'!H10:H300,"Yes",'L2-B TS1-Submission'!T10:T300,"Criterion"))&amp;" tested"&amp;IF((COUNTIFS('L2-B TS1-Submission'!H10:H300,"Yes",'L2-B TS1-Submission'!T10:T300,"Criterion",'L2-B TS1-Submission'!M10:M300,"Not Tested"))&gt;0," · "&amp;(COUNTIFS('L2-B TS1-Submission'!H10:H300,"Yes",'L2-B TS1-Submission'!T10:T300,"Criterion",'L2-B TS1-Submission'!M10:M300,"Not Tested"))&amp;" not tested","")&amp;IF(('L2-B TS1-Submission'!D6)&gt;0," · "&amp;('L2-B TS1-Submission'!D6)&amp;" NOT MET","")&amp;CHAR(10)&amp;IF(((COUNTIFS('L2-B TS1-Submission'!M10:M300,"Not Met",'L2-B TS1-Submission'!T10:T300,"Criterion")+COUNTIFS('L2-B TS1-Submission'!M10:M300,"Counted",'L2-B TS1-Submission'!N10:N300,"&lt;1",'L2-B TS1-Submission'!T10:T300,"Criterion")))&gt;0,((COUNTIFS('L2-B TS1-Submission'!M10:M300,"Not Met",'L2-B TS1-Submission'!T10:T300,"Criterion")+COUNTIFS('L2-B TS1-Submission'!M10:M300,"Counted",'L2-B TS1-Submission'!N10:N300,"&lt;1",'L2-B TS1-Submission'!T10:T300,"Criterion")))&amp;" item(s) need compliance",IF(('L2-B TS1-Submission'!F4)=0,"No findings","No findings so far"))</f>
        <v/>
      </c>
    </row>
    <row r="31" ht="25.5" customHeight="1" s="125">
      <c r="A31" s="209" t="inlineStr">
        <is>
          <t>2C</t>
        </is>
      </c>
      <c r="B31" s="207">
        <f>"2C · TS2 Retrieval"&amp;CHAR(10)&amp;REPT("█",ROUND('L2-C TS2-Retrieval'!D7*10,0))&amp;REPT("░",10-ROUND('L2-C TS2-Retrieval'!D7*10,0))&amp;"  "&amp;TEXT('L2-C TS2-Retrieval'!D7,"0%")&amp;" evaluated"</f>
        <v/>
      </c>
      <c r="C31" s="211">
        <f>Summary!D12</f>
        <v/>
      </c>
      <c r="D31" s="209">
        <f>Summary!H12</f>
        <v/>
      </c>
      <c r="E31" s="212">
        <f>Summary!C12</f>
        <v/>
      </c>
      <c r="F31" s="213">
        <f>"Items: "&amp;(('L2-C TS2-Retrieval'!F7)-('L2-C TS2-Retrieval'!F4))&amp;" of "&amp;('L2-C TS2-Retrieval'!F7)&amp;" tested"&amp;IF(('L2-C TS2-Retrieval'!F4)&gt;0," · "&amp;('L2-C TS2-Retrieval'!F4)&amp;" not tested","")&amp;CHAR(10)&amp;"Critical: "&amp;((COUNTIFS('L2-C TS2-Retrieval'!H10:H300,"Yes",'L2-C TS2-Retrieval'!T10:T300,"Criterion"))-(COUNTIFS('L2-C TS2-Retrieval'!H10:H300,"Yes",'L2-C TS2-Retrieval'!T10:T300,"Criterion",'L2-C TS2-Retrieval'!M10:M300,"Not Tested")))&amp;" of "&amp;(COUNTIFS('L2-C TS2-Retrieval'!H10:H300,"Yes",'L2-C TS2-Retrieval'!T10:T300,"Criterion"))&amp;" tested"&amp;IF((COUNTIFS('L2-C TS2-Retrieval'!H10:H300,"Yes",'L2-C TS2-Retrieval'!T10:T300,"Criterion",'L2-C TS2-Retrieval'!M10:M300,"Not Tested"))&gt;0," · "&amp;(COUNTIFS('L2-C TS2-Retrieval'!H10:H300,"Yes",'L2-C TS2-Retrieval'!T10:T300,"Criterion",'L2-C TS2-Retrieval'!M10:M300,"Not Tested"))&amp;" not tested","")&amp;IF(('L2-C TS2-Retrieval'!D6)&gt;0," · "&amp;('L2-C TS2-Retrieval'!D6)&amp;" NOT MET","")&amp;CHAR(10)&amp;IF(((COUNTIFS('L2-C TS2-Retrieval'!M10:M300,"Not Met",'L2-C TS2-Retrieval'!T10:T300,"Criterion")+COUNTIFS('L2-C TS2-Retrieval'!M10:M300,"Counted",'L2-C TS2-Retrieval'!N10:N300,"&lt;1",'L2-C TS2-Retrieval'!T10:T300,"Criterion")))&gt;0,((COUNTIFS('L2-C TS2-Retrieval'!M10:M300,"Not Met",'L2-C TS2-Retrieval'!T10:T300,"Criterion")+COUNTIFS('L2-C TS2-Retrieval'!M10:M300,"Counted",'L2-C TS2-Retrieval'!N10:N300,"&lt;1",'L2-C TS2-Retrieval'!T10:T300,"Criterion")))&amp;" item(s) need compliance",IF(('L2-C TS2-Retrieval'!F4)=0,"No findings","No findings so far"))</f>
        <v/>
      </c>
    </row>
    <row r="32" ht="25.5" customHeight="1" s="125">
      <c r="A32" s="209" t="inlineStr">
        <is>
          <t>2D</t>
        </is>
      </c>
      <c r="B32" s="207">
        <f>"2D · Security, Reliability &amp; Exceptions"&amp;CHAR(10)&amp;REPT("█",ROUND('L2-D System Resilience'!D7*10,0))&amp;REPT("░",10-ROUND('L2-D System Resilience'!D7*10,0))&amp;"  "&amp;TEXT('L2-D System Resilience'!D7,"0%")&amp;" evaluated"</f>
        <v/>
      </c>
      <c r="C32" s="211">
        <f>Summary!D13</f>
        <v/>
      </c>
      <c r="D32" s="209">
        <f>Summary!H13</f>
        <v/>
      </c>
      <c r="E32" s="212">
        <f>Summary!C13</f>
        <v/>
      </c>
      <c r="F32" s="213">
        <f>"Items: "&amp;(('L2-D System Resilience'!F7)-('L2-D System Resilience'!F4))&amp;" of "&amp;('L2-D System Resilience'!F7)&amp;" tested"&amp;IF(('L2-D System Resilience'!F4)&gt;0," · "&amp;('L2-D System Resilience'!F4)&amp;" not tested","")&amp;CHAR(10)&amp;"Critical: "&amp;((COUNTIFS('L2-D System Resilience'!H10:H300,"Yes",'L2-D System Resilience'!T10:T300,"Criterion"))-(COUNTIFS('L2-D System Resilience'!H10:H300,"Yes",'L2-D System Resilience'!T10:T300,"Criterion",'L2-D System Resilience'!M10:M300,"Not Tested")))&amp;" of "&amp;(COUNTIFS('L2-D System Resilience'!H10:H300,"Yes",'L2-D System Resilience'!T10:T300,"Criterion"))&amp;" tested"&amp;IF((COUNTIFS('L2-D System Resilience'!H10:H300,"Yes",'L2-D System Resilience'!T10:T300,"Criterion",'L2-D System Resilience'!M10:M300,"Not Tested"))&gt;0," · "&amp;(COUNTIFS('L2-D System Resilience'!H10:H300,"Yes",'L2-D System Resilience'!T10:T300,"Criterion",'L2-D System Resilience'!M10:M300,"Not Tested"))&amp;" not tested","")&amp;IF(('L2-D System Resilience'!D6)&gt;0," · "&amp;('L2-D System Resilience'!D6)&amp;" NOT MET","")&amp;CHAR(10)&amp;IF(((COUNTIFS('L2-D System Resilience'!M10:M300,"Not Met",'L2-D System Resilience'!T10:T300,"Criterion")+COUNTIFS('L2-D System Resilience'!M10:M300,"Counted",'L2-D System Resilience'!N10:N300,"&lt;1",'L2-D System Resilience'!T10:T300,"Criterion")))&gt;0,((COUNTIFS('L2-D System Resilience'!M10:M300,"Not Met",'L2-D System Resilience'!T10:T300,"Criterion")+COUNTIFS('L2-D System Resilience'!M10:M300,"Counted",'L2-D System Resilience'!N10:N300,"&lt;1",'L2-D System Resilience'!T10:T300,"Criterion")))&amp;" item(s) need compliance",IF(('L2-D System Resilience'!F4)=0,"No findings","No findings so far"))</f>
        <v/>
      </c>
    </row>
    <row r="33" ht="25.5" customHeight="1" s="125">
      <c r="A33" s="209" t="inlineStr">
        <is>
          <t>L3</t>
        </is>
      </c>
      <c r="B33" s="210">
        <f>"Level 3 — Reports &amp; Dashboard"&amp;CHAR(10)&amp;REPT("█",ROUND('L3 Reports'!D7*10,0))&amp;REPT("░",10-ROUND('L3 Reports'!D7*10,0))&amp;"  "&amp;TEXT('L3 Reports'!D7,"0%")&amp;" evaluated"</f>
        <v/>
      </c>
      <c r="C33" s="211">
        <f>Summary!D14</f>
        <v/>
      </c>
      <c r="D33" s="209">
        <f>Summary!I14</f>
        <v/>
      </c>
      <c r="E33" s="212">
        <f>Summary!C14</f>
        <v/>
      </c>
      <c r="F33" s="213">
        <f>"Items: "&amp;(('L3 Reports'!F7)-('L3 Reports'!F4))&amp;" of "&amp;('L3 Reports'!F7)&amp;" tested"&amp;IF(('L3 Reports'!F4)&gt;0," · "&amp;('L3 Reports'!F4)&amp;" not tested","")&amp;CHAR(10)&amp;"Critical: "&amp;((COUNTIFS('L3 Reports'!H10:H300,"Yes",'L3 Reports'!T10:T300,"Criterion"))-(COUNTIFS('L3 Reports'!H10:H300,"Yes",'L3 Reports'!T10:T300,"Criterion",'L3 Reports'!M10:M300,"Not Tested")))&amp;" of "&amp;(COUNTIFS('L3 Reports'!H10:H300,"Yes",'L3 Reports'!T10:T300,"Criterion"))&amp;" tested"&amp;IF((COUNTIFS('L3 Reports'!H10:H300,"Yes",'L3 Reports'!T10:T300,"Criterion",'L3 Reports'!M10:M300,"Not Tested"))&gt;0," · "&amp;(COUNTIFS('L3 Reports'!H10:H300,"Yes",'L3 Reports'!T10:T300,"Criterion",'L3 Reports'!M10:M300,"Not Tested"))&amp;" not tested","")&amp;IF(('L3 Reports'!D6)&gt;0," · "&amp;('L3 Reports'!D6)&amp;" NOT MET","")&amp;CHAR(10)&amp;IF(((COUNTIFS('L3 Reports'!M10:M300,"Not Met",'L3 Reports'!T10:T300,"Criterion")+COUNTIFS('L3 Reports'!M10:M300,"Counted",'L3 Reports'!N10:N300,"&lt;1",'L3 Reports'!T10:T300,"Criterion")))&gt;0,((COUNTIFS('L3 Reports'!M10:M300,"Not Met",'L3 Reports'!T10:T300,"Criterion")+COUNTIFS('L3 Reports'!M10:M300,"Counted",'L3 Reports'!N10:N300,"&lt;1",'L3 Reports'!T10:T300,"Criterion")))&amp;" item(s) need compliance",IF(('L3 Reports'!F4)=0,"No findings","No findings so far"))</f>
        <v/>
      </c>
    </row>
    <row r="34" ht="25.5" customHeight="1" s="125">
      <c r="A34" s="209" t="inlineStr">
        <is>
          <t>L4</t>
        </is>
      </c>
      <c r="B34" s="210">
        <f>"Level 4 — Advanced Interoperability"&amp;CHAR(10)&amp;REPT("█",ROUND('L4 Advanced'!D7*10,0))&amp;REPT("░",10-ROUND('L4 Advanced'!D7*10,0))&amp;"  "&amp;TEXT('L4 Advanced'!D7,"0%")&amp;" evaluated"</f>
        <v/>
      </c>
      <c r="C34" s="211">
        <f>Summary!D15</f>
        <v/>
      </c>
      <c r="D34" s="209">
        <f>Summary!I15</f>
        <v/>
      </c>
      <c r="E34" s="212">
        <f>Summary!C15</f>
        <v/>
      </c>
      <c r="F34" s="213">
        <f>"Items: "&amp;(('L4 Advanced'!F7)-('L4 Advanced'!F4))&amp;" of "&amp;('L4 Advanced'!F7)&amp;" tested"&amp;IF(('L4 Advanced'!F4)&gt;0," · "&amp;('L4 Advanced'!F4)&amp;" not tested","")&amp;CHAR(10)&amp;"Critical: "&amp;((COUNTIFS('L4 Advanced'!H10:H300,"Yes",'L4 Advanced'!T10:T300,"Criterion"))-(COUNTIFS('L4 Advanced'!H10:H300,"Yes",'L4 Advanced'!T10:T300,"Criterion",'L4 Advanced'!M10:M300,"Not Tested")))&amp;" of "&amp;(COUNTIFS('L4 Advanced'!H10:H300,"Yes",'L4 Advanced'!T10:T300,"Criterion"))&amp;" tested"&amp;IF((COUNTIFS('L4 Advanced'!H10:H300,"Yes",'L4 Advanced'!T10:T300,"Criterion",'L4 Advanced'!M10:M300,"Not Tested"))&gt;0," · "&amp;(COUNTIFS('L4 Advanced'!H10:H300,"Yes",'L4 Advanced'!T10:T300,"Criterion",'L4 Advanced'!M10:M300,"Not Tested"))&amp;" not tested","")&amp;IF(('L4 Advanced'!D6)&gt;0," · "&amp;('L4 Advanced'!D6)&amp;" NOT MET","")&amp;CHAR(10)&amp;IF(((COUNTIFS('L4 Advanced'!M10:M300,"Not Met",'L4 Advanced'!T10:T300,"Criterion")+COUNTIFS('L4 Advanced'!M10:M300,"Counted",'L4 Advanced'!N10:N300,"&lt;1",'L4 Advanced'!T10:T300,"Criterion")))&gt;0,((COUNTIFS('L4 Advanced'!M10:M300,"Not Met",'L4 Advanced'!T10:T300,"Criterion")+COUNTIFS('L4 Advanced'!M10:M300,"Counted",'L4 Advanced'!N10:N300,"&lt;1",'L4 Advanced'!T10:T300,"Criterion")))&amp;" item(s) need compliance",IF(('L4 Advanced'!F4)=0,"No findings","No findings so far"))</f>
        <v/>
      </c>
    </row>
    <row r="35" ht="18" customHeight="1" s="125">
      <c r="A35" s="215" t="inlineStr">
        <is>
          <t>Highest level achieved:</t>
        </is>
      </c>
      <c r="B35" s="204" t="n"/>
      <c r="C35" s="219">
        <f>Summary!C18</f>
        <v/>
      </c>
      <c r="D35" s="204" t="n"/>
      <c r="E35" s="206" t="inlineStr">
        <is>
          <t>HIE use:</t>
        </is>
      </c>
      <c r="F35" s="209">
        <f>IF(Summary!I14="PASSED","✓ CONFORMANT (Levels 0–3 passed)"&amp;IF(Summary!C23&lt;&gt;"Approved"," — PROVISIONAL",""),"NOT YET CONFORMANT")</f>
        <v/>
      </c>
    </row>
    <row r="36" ht="18" customHeight="1" s="125">
      <c r="A36" s="215" t="inlineStr">
        <is>
          <t>Overall progress (all levels):</t>
        </is>
      </c>
      <c r="B36" s="204" t="n"/>
      <c r="C36" s="207">
        <f>REPT("█",ROUND((('L0 Application'!F7+'L1 Documentation'!F7+'L2-A TS0-Terminology'!F7+'L2-B TS1-Submission'!F7+'L2-C TS2-Retrieval'!F7+'L2-D System Resilience'!F7+'L3 Reports'!F7+'L4 Advanced'!F7)-('L0 Application'!F4+'L1 Documentation'!F4+'L2-A TS0-Terminology'!F4+'L2-B TS1-Submission'!F4+'L2-C TS2-Retrieval'!F4+'L2-D System Resilience'!F4+'L3 Reports'!F4+'L4 Advanced'!F4))/('L0 Application'!F7+'L1 Documentation'!F7+'L2-A TS0-Terminology'!F7+'L2-B TS1-Submission'!F7+'L2-C TS2-Retrieval'!F7+'L2-D System Resilience'!F7+'L3 Reports'!F7+'L4 Advanced'!F7)*20,0))&amp;REPT("░",20-ROUND((('L0 Application'!F7+'L1 Documentation'!F7+'L2-A TS0-Terminology'!F7+'L2-B TS1-Submission'!F7+'L2-C TS2-Retrieval'!F7+'L2-D System Resilience'!F7+'L3 Reports'!F7+'L4 Advanced'!F7)-('L0 Application'!F4+'L1 Documentation'!F4+'L2-A TS0-Terminology'!F4+'L2-B TS1-Submission'!F4+'L2-C TS2-Retrieval'!F4+'L2-D System Resilience'!F4+'L3 Reports'!F4+'L4 Advanced'!F4))/('L0 Application'!F7+'L1 Documentation'!F7+'L2-A TS0-Terminology'!F7+'L2-B TS1-Submission'!F7+'L2-C TS2-Retrieval'!F7+'L2-D System Resilience'!F7+'L3 Reports'!F7+'L4 Advanced'!F7)*20,0))&amp;"  "&amp;(('L0 Application'!F7+'L1 Documentation'!F7+'L2-A TS0-Terminology'!F7+'L2-B TS1-Submission'!F7+'L2-C TS2-Retrieval'!F7+'L2-D System Resilience'!F7+'L3 Reports'!F7+'L4 Advanced'!F7)-('L0 Application'!F4+'L1 Documentation'!F4+'L2-A TS0-Terminology'!F4+'L2-B TS1-Submission'!F4+'L2-C TS2-Retrieval'!F4+'L2-D System Resilience'!F4+'L3 Reports'!F4+'L4 Advanced'!F4))&amp;" of "&amp;('L0 Application'!F7+'L1 Documentation'!F7+'L2-A TS0-Terminology'!F7+'L2-B TS1-Submission'!F7+'L2-C TS2-Retrieval'!F7+'L2-D System Resilience'!F7+'L3 Reports'!F7+'L4 Advanced'!F7)&amp;" criteria evaluated · critical "&amp;((COUNTIFS('L0 Application'!H10:H300,"Yes",'L0 Application'!T10:T300,"Criterion")+COUNTIFS('L1 Documentation'!H10:H300,"Yes",'L1 Documentation'!T10:T300,"Criterion")+COUNTIFS('L2-A TS0-Terminology'!H10:H300,"Yes",'L2-A TS0-Terminology'!T10:T300,"Criterion")+COUNTIFS('L2-B TS1-Submission'!H10:H300,"Yes",'L2-B TS1-Submission'!T10:T300,"Criterion")+COUNTIFS('L2-C TS2-Retrieval'!H10:H300,"Yes",'L2-C TS2-Retrieval'!T10:T300,"Criterion")+COUNTIFS('L2-D System Resilience'!H10:H300,"Yes",'L2-D System Resilience'!T10:T300,"Criterion")+COUNTIFS('L3 Reports'!H10:H300,"Yes",'L3 Reports'!T10:T300,"Criterion")+COUNTIFS('L4 Advanced'!H10:H300,"Yes",'L4 Advanced'!T10:T300,"Criterion"))-(COUNTIFS('L0 Application'!H10:H300,"Yes",'L0 Application'!T10:T300,"Criterion",'L0 Application'!M10:M300,"Not Tested")+COUNTIFS('L1 Documentation'!H10:H300,"Yes",'L1 Documentation'!T10:T300,"Criterion",'L1 Documentation'!M10:M300,"Not Tested")+COUNTIFS('L2-A TS0-Terminology'!H10:H300,"Yes",'L2-A TS0-Terminology'!T10:T300,"Criterion",'L2-A TS0-Terminology'!M10:M300,"Not Tested")+COUNTIFS('L2-B TS1-Submission'!H10:H300,"Yes",'L2-B TS1-Submission'!T10:T300,"Criterion",'L2-B TS1-Submission'!M10:M300,"Not Tested")+COUNTIFS('L2-C TS2-Retrieval'!H10:H300,"Yes",'L2-C TS2-Retrieval'!T10:T300,"Criterion",'L2-C TS2-Retrieval'!M10:M300,"Not Tested")+COUNTIFS('L2-D System Resilience'!H10:H300,"Yes",'L2-D System Resilience'!T10:T300,"Criterion",'L2-D System Resilience'!M10:M300,"Not Tested")+COUNTIFS('L3 Reports'!H10:H300,"Yes",'L3 Reports'!T10:T300,"Criterion",'L3 Reports'!M10:M300,"Not Tested")+COUNTIFS('L4 Advanced'!H10:H300,"Yes",'L4 Advanced'!T10:T300,"Criterion",'L4 Advanced'!M10:M300,"Not Tested")))&amp;" of "&amp;(COUNTIFS('L0 Application'!H10:H300,"Yes",'L0 Application'!T10:T300,"Criterion")+COUNTIFS('L1 Documentation'!H10:H300,"Yes",'L1 Documentation'!T10:T300,"Criterion")+COUNTIFS('L2-A TS0-Terminology'!H10:H300,"Yes",'L2-A TS0-Terminology'!T10:T300,"Criterion")+COUNTIFS('L2-B TS1-Submission'!H10:H300,"Yes",'L2-B TS1-Submission'!T10:T300,"Criterion")+COUNTIFS('L2-C TS2-Retrieval'!H10:H300,"Yes",'L2-C TS2-Retrieval'!T10:T300,"Criterion")+COUNTIFS('L2-D System Resilience'!H10:H300,"Yes",'L2-D System Resilience'!T10:T300,"Criterion")+COUNTIFS('L3 Reports'!H10:H300,"Yes",'L3 Reports'!T10:T300,"Criterion")+COUNTIFS('L4 Advanced'!H10:H300,"Yes",'L4 Advanced'!T10:T300,"Criterion"))&amp;" tested"</f>
        <v/>
      </c>
      <c r="D36" s="203" t="n"/>
      <c r="E36" s="203" t="n"/>
      <c r="F36" s="204" t="n"/>
    </row>
    <row r="37" ht="12.75" customHeight="1" s="125">
      <c r="A37" s="220" t="inlineStr">
        <is>
          <t>Legend: ✓ Met   ✗ Not met   ◐ Partial / in progress   ○ Not tested   — N/A   ★ Critical      Colours: red = needs attention · amber = partial / in progress · green = met / passed</t>
        </is>
      </c>
    </row>
    <row r="38"/>
    <row r="39" ht="13.5" customHeight="1" s="125">
      <c r="A39" s="198" t="inlineStr">
        <is>
          <t>Republic of the Philippines</t>
        </is>
      </c>
    </row>
    <row r="40" ht="13.5" customHeight="1" s="125">
      <c r="A40" s="199" t="inlineStr">
        <is>
          <t>Department of Health</t>
        </is>
      </c>
    </row>
    <row r="41" ht="13.5" customHeight="1" s="125">
      <c r="A41" s="200">
        <f>UPPER('System Profile'!C33)</f>
        <v/>
      </c>
    </row>
    <row r="42" ht="21.75" customHeight="1" s="125">
      <c r="A42" s="221" t="n"/>
    </row>
    <row r="43" ht="15" customHeight="1" s="125">
      <c r="A43" s="202" t="inlineStr">
        <is>
          <t>C. LEVEL 3 RECONCILIATION — Section B (10 known referrals) and Section C (edge cases)</t>
        </is>
      </c>
      <c r="B43" s="203" t="n"/>
      <c r="C43" s="203" t="n"/>
      <c r="D43" s="203" t="n"/>
      <c r="E43" s="203" t="n"/>
      <c r="F43" s="204" t="n"/>
    </row>
    <row r="44" ht="15" customHeight="1" s="125">
      <c r="A44" s="222" t="inlineStr">
        <is>
          <t>Expected result (criterion)</t>
        </is>
      </c>
      <c r="B44" s="204" t="n"/>
      <c r="C44" s="222" t="inlineStr">
        <is>
          <t>Expected</t>
        </is>
      </c>
      <c r="D44" s="222" t="inlineStr">
        <is>
          <t>In system report</t>
        </is>
      </c>
      <c r="E44" s="222" t="inlineStr">
        <is>
          <t>Match</t>
        </is>
      </c>
      <c r="F44" s="204" t="n"/>
    </row>
    <row r="45" ht="12" customHeight="1" s="125">
      <c r="A45" s="223" t="inlineStr">
        <is>
          <t>Total referrals in linelist  (L3-03)</t>
        </is>
      </c>
      <c r="B45" s="204" t="n"/>
      <c r="C45" s="224">
        <f>'Test Data'!B69</f>
        <v/>
      </c>
      <c r="D45" s="225">
        <f>IF('Test Data'!C69="","—",'Test Data'!C69)</f>
        <v/>
      </c>
      <c r="E45" s="226">
        <f>IF('Test Data'!D69="MATCH","✓ MATCH",IF('Test Data'!D69="MISMATCH","✗ MISMATCH","○ Not yet compared"))</f>
        <v/>
      </c>
      <c r="F45" s="204" t="n"/>
    </row>
    <row r="46" ht="12" customHeight="1" s="125">
      <c r="A46" s="223" t="inlineStr">
        <is>
          <t>Outgoing referrals  (L3-04)</t>
        </is>
      </c>
      <c r="B46" s="204" t="n"/>
      <c r="C46" s="224">
        <f>'Test Data'!B70</f>
        <v/>
      </c>
      <c r="D46" s="225">
        <f>IF('Test Data'!C70="","—",'Test Data'!C70)</f>
        <v/>
      </c>
      <c r="E46" s="226">
        <f>IF('Test Data'!D70="MATCH","✓ MATCH",IF('Test Data'!D70="MISMATCH","✗ MISMATCH","○ Not yet compared"))</f>
        <v/>
      </c>
      <c r="F46" s="204" t="n"/>
    </row>
    <row r="47" ht="12" customHeight="1" s="125">
      <c r="A47" s="223" t="inlineStr">
        <is>
          <t>Incoming referrals  (L3-04)</t>
        </is>
      </c>
      <c r="B47" s="204" t="n"/>
      <c r="C47" s="224">
        <f>'Test Data'!B71</f>
        <v/>
      </c>
      <c r="D47" s="225">
        <f>IF('Test Data'!C71="","—",'Test Data'!C71)</f>
        <v/>
      </c>
      <c r="E47" s="226">
        <f>IF('Test Data'!D71="MATCH","✓ MATCH",IF('Test Data'!D71="MISMATCH","✗ MISMATCH","○ Not yet compared"))</f>
        <v/>
      </c>
      <c r="F47" s="204" t="n"/>
    </row>
    <row r="48" ht="12" customHeight="1" s="125">
      <c r="A48" s="223" t="inlineStr">
        <is>
          <t>Received (incoming AND status Received)  (L3-04)</t>
        </is>
      </c>
      <c r="B48" s="204" t="n"/>
      <c r="C48" s="224">
        <f>'Test Data'!B72</f>
        <v/>
      </c>
      <c r="D48" s="225">
        <f>IF('Test Data'!C72="","—",'Test Data'!C72)</f>
        <v/>
      </c>
      <c r="E48" s="226">
        <f>IF('Test Data'!D72="MATCH","✓ MATCH",IF('Test Data'!D72="MISMATCH","✗ MISMATCH","○ Not yet compared"))</f>
        <v/>
      </c>
      <c r="F48" s="204" t="n"/>
    </row>
    <row r="49" ht="12" customHeight="1" s="125">
      <c r="A49" s="223" t="inlineStr">
        <is>
          <t>Deferred / denied (all)  (L3-05)</t>
        </is>
      </c>
      <c r="B49" s="204" t="n"/>
      <c r="C49" s="224">
        <f>'Test Data'!B73</f>
        <v/>
      </c>
      <c r="D49" s="225">
        <f>IF('Test Data'!C73="","—",'Test Data'!C73)</f>
        <v/>
      </c>
      <c r="E49" s="226">
        <f>IF('Test Data'!D73="MATCH","✓ MATCH",IF('Test Data'!D73="MISMATCH","✗ MISMATCH","○ Not yet compared"))</f>
        <v/>
      </c>
      <c r="F49" s="204" t="n"/>
    </row>
    <row r="50" ht="12" customHeight="1" s="125">
      <c r="A50" s="223" t="inlineStr">
        <is>
          <t>Redirected (all)  (L3-05)</t>
        </is>
      </c>
      <c r="B50" s="204" t="n"/>
      <c r="C50" s="224">
        <f>'Test Data'!B74</f>
        <v/>
      </c>
      <c r="D50" s="225">
        <f>IF('Test Data'!C74="","—",'Test Data'!C74)</f>
        <v/>
      </c>
      <c r="E50" s="226">
        <f>IF('Test Data'!D74="MATCH","✓ MATCH",IF('Test Data'!D74="MISMATCH","✗ MISMATCH","○ Not yet compared"))</f>
        <v/>
      </c>
      <c r="F50" s="204" t="n"/>
    </row>
    <row r="51" ht="12" customHeight="1" s="125">
      <c r="A51" s="223" t="inlineStr">
        <is>
          <t>Reason: Consultation  (L3-06)</t>
        </is>
      </c>
      <c r="B51" s="204" t="n"/>
      <c r="C51" s="224">
        <f>'Test Data'!B75</f>
        <v/>
      </c>
      <c r="D51" s="225">
        <f>IF('Test Data'!C75="","—",'Test Data'!C75)</f>
        <v/>
      </c>
      <c r="E51" s="226">
        <f>IF('Test Data'!D75="MATCH","✓ MATCH",IF('Test Data'!D75="MISMATCH","✗ MISMATCH","○ Not yet compared"))</f>
        <v/>
      </c>
      <c r="F51" s="204" t="n"/>
    </row>
    <row r="52" ht="12" customHeight="1" s="125">
      <c r="A52" s="223" t="inlineStr">
        <is>
          <t>Reason: Diagnostics  (L3-06)</t>
        </is>
      </c>
      <c r="B52" s="204" t="n"/>
      <c r="C52" s="224">
        <f>'Test Data'!B76</f>
        <v/>
      </c>
      <c r="D52" s="225">
        <f>IF('Test Data'!C76="","—",'Test Data'!C76)</f>
        <v/>
      </c>
      <c r="E52" s="226">
        <f>IF('Test Data'!D76="MATCH","✓ MATCH",IF('Test Data'!D76="MISMATCH","✗ MISMATCH","○ Not yet compared"))</f>
        <v/>
      </c>
      <c r="F52" s="204" t="n"/>
    </row>
    <row r="53" ht="12" customHeight="1" s="125">
      <c r="A53" s="223" t="inlineStr">
        <is>
          <t>Reason: Procedure  (L3-06)</t>
        </is>
      </c>
      <c r="B53" s="204" t="n"/>
      <c r="C53" s="224">
        <f>'Test Data'!B77</f>
        <v/>
      </c>
      <c r="D53" s="225">
        <f>IF('Test Data'!C77="","—",'Test Data'!C77)</f>
        <v/>
      </c>
      <c r="E53" s="226">
        <f>IF('Test Data'!D77="MATCH","✓ MATCH",IF('Test Data'!D77="MISMATCH","✗ MISMATCH","○ Not yet compared"))</f>
        <v/>
      </c>
      <c r="F53" s="204" t="n"/>
    </row>
    <row r="54" ht="12" customHeight="1" s="125">
      <c r="A54" s="223" t="inlineStr">
        <is>
          <t>Reason: Others  (L3-06)</t>
        </is>
      </c>
      <c r="B54" s="204" t="n"/>
      <c r="C54" s="224">
        <f>'Test Data'!B78</f>
        <v/>
      </c>
      <c r="D54" s="225">
        <f>IF('Test Data'!C78="","—",'Test Data'!C78)</f>
        <v/>
      </c>
      <c r="E54" s="226">
        <f>IF('Test Data'!D78="MATCH","✓ MATCH",IF('Test Data'!D78="MISMATCH","✗ MISMATCH","○ Not yet compared"))</f>
        <v/>
      </c>
      <c r="F54" s="204" t="n"/>
    </row>
    <row r="55" ht="12" customHeight="1" s="125">
      <c r="A55" s="223" t="inlineStr">
        <is>
          <t>Incoming from Government facilities  (L3-07)</t>
        </is>
      </c>
      <c r="B55" s="204" t="n"/>
      <c r="C55" s="224">
        <f>'Test Data'!B79</f>
        <v/>
      </c>
      <c r="D55" s="225">
        <f>IF('Test Data'!C79="","—",'Test Data'!C79)</f>
        <v/>
      </c>
      <c r="E55" s="226">
        <f>IF('Test Data'!D79="MATCH","✓ MATCH",IF('Test Data'!D79="MISMATCH","✗ MISMATCH","○ Not yet compared"))</f>
        <v/>
      </c>
      <c r="F55" s="204" t="n"/>
    </row>
    <row r="56" ht="12" customHeight="1" s="125">
      <c r="A56" s="223" t="inlineStr">
        <is>
          <t>Incoming from Private facilities  (L3-07)</t>
        </is>
      </c>
      <c r="B56" s="204" t="n"/>
      <c r="C56" s="224">
        <f>'Test Data'!B80</f>
        <v/>
      </c>
      <c r="D56" s="225">
        <f>IF('Test Data'!C80="","—",'Test Data'!C80)</f>
        <v/>
      </c>
      <c r="E56" s="226">
        <f>IF('Test Data'!D80="MATCH","✓ MATCH",IF('Test Data'!D80="MISMATCH","✗ MISMATCH","○ Not yet compared"))</f>
        <v/>
      </c>
      <c r="F56" s="204" t="n"/>
    </row>
    <row r="57" ht="12" customHeight="1" s="125">
      <c r="A57" s="223" t="inlineStr">
        <is>
          <t>Outgoing — Government referring facility  (L3-07)</t>
        </is>
      </c>
      <c r="B57" s="204" t="n"/>
      <c r="C57" s="224">
        <f>'Test Data'!B81</f>
        <v/>
      </c>
      <c r="D57" s="225">
        <f>IF('Test Data'!C81="","—",'Test Data'!C81)</f>
        <v/>
      </c>
      <c r="E57" s="226">
        <f>IF('Test Data'!D81="MATCH","✓ MATCH",IF('Test Data'!D81="MISMATCH","✗ MISMATCH","○ Not yet compared"))</f>
        <v/>
      </c>
      <c r="F57" s="204" t="n"/>
    </row>
    <row r="58" ht="12" customHeight="1" s="125">
      <c r="A58" s="223" t="inlineStr">
        <is>
          <t>Outgoing — Private referring facility  (L3-07)</t>
        </is>
      </c>
      <c r="B58" s="204" t="n"/>
      <c r="C58" s="224">
        <f>'Test Data'!B82</f>
        <v/>
      </c>
      <c r="D58" s="225">
        <f>IF('Test Data'!C82="","—",'Test Data'!C82)</f>
        <v/>
      </c>
      <c r="E58" s="226">
        <f>IF('Test Data'!D82="MATCH","✓ MATCH",IF('Test Data'!D82="MISMATCH","✗ MISMATCH","○ Not yet compared"))</f>
        <v/>
      </c>
      <c r="F58" s="204" t="n"/>
    </row>
    <row r="59" ht="12" customHeight="1" s="125">
      <c r="A59" s="223" t="inlineStr">
        <is>
          <t>By receiving capability: RHU  (L3-08)</t>
        </is>
      </c>
      <c r="B59" s="204" t="n"/>
      <c r="C59" s="224">
        <f>'Test Data'!B83</f>
        <v/>
      </c>
      <c r="D59" s="225">
        <f>IF('Test Data'!C83="","—",'Test Data'!C83)</f>
        <v/>
      </c>
      <c r="E59" s="226">
        <f>IF('Test Data'!D83="MATCH","✓ MATCH",IF('Test Data'!D83="MISMATCH","✗ MISMATCH","○ Not yet compared"))</f>
        <v/>
      </c>
      <c r="F59" s="204" t="n"/>
    </row>
    <row r="60" ht="12" customHeight="1" s="125">
      <c r="A60" s="223" t="inlineStr">
        <is>
          <t>By receiving capability: Infirmary  (L3-08)</t>
        </is>
      </c>
      <c r="B60" s="204" t="n"/>
      <c r="C60" s="224">
        <f>'Test Data'!B84</f>
        <v/>
      </c>
      <c r="D60" s="225">
        <f>IF('Test Data'!C84="","—",'Test Data'!C84)</f>
        <v/>
      </c>
      <c r="E60" s="226">
        <f>IF('Test Data'!D84="MATCH","✓ MATCH",IF('Test Data'!D84="MISMATCH","✗ MISMATCH","○ Not yet compared"))</f>
        <v/>
      </c>
      <c r="F60" s="204" t="n"/>
    </row>
    <row r="61" ht="12" customHeight="1" s="125">
      <c r="A61" s="223" t="inlineStr">
        <is>
          <t>By receiving capability: Level 1  (L3-08)</t>
        </is>
      </c>
      <c r="B61" s="204" t="n"/>
      <c r="C61" s="224">
        <f>'Test Data'!B85</f>
        <v/>
      </c>
      <c r="D61" s="225">
        <f>IF('Test Data'!C85="","—",'Test Data'!C85)</f>
        <v/>
      </c>
      <c r="E61" s="226">
        <f>IF('Test Data'!D85="MATCH","✓ MATCH",IF('Test Data'!D85="MISMATCH","✗ MISMATCH","○ Not yet compared"))</f>
        <v/>
      </c>
      <c r="F61" s="204" t="n"/>
    </row>
    <row r="62" ht="12" customHeight="1" s="125">
      <c r="A62" s="223" t="inlineStr">
        <is>
          <t>By receiving capability: Level 2  (L3-08)</t>
        </is>
      </c>
      <c r="B62" s="204" t="n"/>
      <c r="C62" s="224">
        <f>'Test Data'!B86</f>
        <v/>
      </c>
      <c r="D62" s="225">
        <f>IF('Test Data'!C86="","—",'Test Data'!C86)</f>
        <v/>
      </c>
      <c r="E62" s="226">
        <f>IF('Test Data'!D86="MATCH","✓ MATCH",IF('Test Data'!D86="MISMATCH","✗ MISMATCH","○ Not yet compared"))</f>
        <v/>
      </c>
      <c r="F62" s="204" t="n"/>
    </row>
    <row r="63" ht="12" customHeight="1" s="125">
      <c r="A63" s="223" t="inlineStr">
        <is>
          <t>By receiving capability: Level 3  (L3-08)</t>
        </is>
      </c>
      <c r="B63" s="204" t="n"/>
      <c r="C63" s="224">
        <f>'Test Data'!B87</f>
        <v/>
      </c>
      <c r="D63" s="225">
        <f>IF('Test Data'!C87="","—",'Test Data'!C87)</f>
        <v/>
      </c>
      <c r="E63" s="226">
        <f>IF('Test Data'!D87="MATCH","✓ MATCH",IF('Test Data'!D87="MISMATCH","✗ MISMATCH","○ Not yet compared"))</f>
        <v/>
      </c>
      <c r="F63" s="204" t="n"/>
    </row>
    <row r="64" ht="12" customHeight="1" s="125">
      <c r="A64" s="223" t="inlineStr">
        <is>
          <t>Average turnaround time (minutes)  (L3-09)</t>
        </is>
      </c>
      <c r="B64" s="204" t="n"/>
      <c r="C64" s="225">
        <f>'Test Data'!B88</f>
        <v/>
      </c>
      <c r="D64" s="225">
        <f>IF('Test Data'!C88="","—",'Test Data'!C88)</f>
        <v/>
      </c>
      <c r="E64" s="226">
        <f>IF('Test Data'!D88="MATCH","✓ MATCH",IF('Test Data'!D88="MISMATCH","✗ MISMATCH","○ Not yet compared"))</f>
        <v/>
      </c>
      <c r="F64" s="204" t="n"/>
    </row>
    <row r="65" ht="12" customHeight="1" s="125">
      <c r="A65" s="223" t="inlineStr">
        <is>
          <t>Morbidity rank 1: J18.9 Pneumonia  (L3-16)</t>
        </is>
      </c>
      <c r="B65" s="204" t="n"/>
      <c r="C65" s="224">
        <f>'Test Data'!B89</f>
        <v/>
      </c>
      <c r="D65" s="225">
        <f>IF('Test Data'!C89="","—",'Test Data'!C89)</f>
        <v/>
      </c>
      <c r="E65" s="226">
        <f>IF('Test Data'!D89="MATCH","✓ MATCH",IF('Test Data'!D89="MISMATCH","✗ MISMATCH","○ Not yet compared"))</f>
        <v/>
      </c>
      <c r="F65" s="204" t="n"/>
    </row>
    <row r="66" ht="12" customHeight="1" s="125">
      <c r="A66" s="223" t="inlineStr">
        <is>
          <t>Morbidity rank 2: O14.1 Severe pre-eclampsia  (L3-16)</t>
        </is>
      </c>
      <c r="B66" s="204" t="n"/>
      <c r="C66" s="224">
        <f>'Test Data'!B90</f>
        <v/>
      </c>
      <c r="D66" s="225">
        <f>IF('Test Data'!C90="","—",'Test Data'!C90)</f>
        <v/>
      </c>
      <c r="E66" s="226">
        <f>IF('Test Data'!D90="MATCH","✓ MATCH",IF('Test Data'!D90="MISMATCH","✗ MISMATCH","○ Not yet compared"))</f>
        <v/>
      </c>
      <c r="F66" s="204" t="n"/>
    </row>
    <row r="67" ht="12" customHeight="1" s="125">
      <c r="A67" s="223" t="inlineStr">
        <is>
          <t>Morbidity rank 3: I10 Essential hypertension  (L3-16)</t>
        </is>
      </c>
      <c r="B67" s="204" t="n"/>
      <c r="C67" s="224">
        <f>'Test Data'!B91</f>
        <v/>
      </c>
      <c r="D67" s="225">
        <f>IF('Test Data'!C91="","—",'Test Data'!C91)</f>
        <v/>
      </c>
      <c r="E67" s="226">
        <f>IF('Test Data'!D91="MATCH","✓ MATCH",IF('Test Data'!D91="MISMATCH","✗ MISMATCH","○ Not yet compared"))</f>
        <v/>
      </c>
      <c r="F67" s="204" t="n"/>
    </row>
    <row r="68" ht="12" customHeight="1" s="125">
      <c r="A68" s="223" t="inlineStr">
        <is>
          <t>Morbidity rank 4: A09 Infectious gastroenteritis  (L3-16)</t>
        </is>
      </c>
      <c r="B68" s="204" t="n"/>
      <c r="C68" s="224">
        <f>'Test Data'!B92</f>
        <v/>
      </c>
      <c r="D68" s="225">
        <f>IF('Test Data'!C92="","—",'Test Data'!C92)</f>
        <v/>
      </c>
      <c r="E68" s="226">
        <f>IF('Test Data'!D92="MATCH","✓ MATCH",IF('Test Data'!D92="MISMATCH","✗ MISMATCH","○ Not yet compared"))</f>
        <v/>
      </c>
      <c r="F68" s="204" t="n"/>
    </row>
    <row r="69" ht="15" customHeight="1" s="125">
      <c r="A69" s="222" t="inlineStr">
        <is>
          <t>Section C — edge cases (expected value · in system report · match)</t>
        </is>
      </c>
      <c r="B69" s="204" t="n"/>
      <c r="C69" s="222" t="inlineStr">
        <is>
          <t>Expected</t>
        </is>
      </c>
      <c r="D69" s="222" t="inlineStr">
        <is>
          <t>In system report</t>
        </is>
      </c>
      <c r="E69" s="222" t="inlineStr">
        <is>
          <t>Match</t>
        </is>
      </c>
      <c r="F69" s="204" t="n"/>
    </row>
    <row r="70" ht="21" customHeight="1" s="125">
      <c r="A70" s="223" t="inlineStr">
        <is>
          <t>C1 counted in the reporting month (Yes / No)  (L3-17.1)</t>
        </is>
      </c>
      <c r="B70" s="204" t="n"/>
      <c r="C70" s="224">
        <f>'Test Data'!B110</f>
        <v/>
      </c>
      <c r="D70" s="225">
        <f>IF('Test Data'!C110="","—",'Test Data'!C110)</f>
        <v/>
      </c>
      <c r="E70" s="226">
        <f>IF('Test Data'!D110="MATCH","✓ MATCH",IF('Test Data'!D110="MISMATCH","✗ MISMATCH","○ Not yet compared"))</f>
        <v/>
      </c>
      <c r="F70" s="204" t="n"/>
    </row>
    <row r="71" ht="21" customHeight="1" s="125">
      <c r="A71" s="223" t="inlineStr">
        <is>
          <t>Referrals in the reporting month (distinct, excluding cancelled)  (L3-17.2)</t>
        </is>
      </c>
      <c r="B71" s="204" t="n"/>
      <c r="C71" s="224">
        <f>'Test Data'!B111</f>
        <v/>
      </c>
      <c r="D71" s="225">
        <f>IF('Test Data'!C111="","—",'Test Data'!C111)</f>
        <v/>
      </c>
      <c r="E71" s="226">
        <f>IF('Test Data'!D111="MATCH","✓ MATCH",IF('Test Data'!D111="MISMATCH","✗ MISMATCH","○ Not yet compared"))</f>
        <v/>
      </c>
      <c r="F71" s="204" t="n"/>
    </row>
    <row r="72" ht="21" customHeight="1" s="125">
      <c r="A72" s="223" t="inlineStr">
        <is>
          <t>Referrals in the following month  (L3-17.3)</t>
        </is>
      </c>
      <c r="B72" s="204" t="n"/>
      <c r="C72" s="224">
        <f>'Test Data'!B112</f>
        <v/>
      </c>
      <c r="D72" s="225">
        <f>IF('Test Data'!C112="","—",'Test Data'!C112)</f>
        <v/>
      </c>
      <c r="E72" s="226">
        <f>IF('Test Data'!D112="MATCH","✓ MATCH",IF('Test Data'!D112="MISMATCH","✗ MISMATCH","○ Not yet compared"))</f>
        <v/>
      </c>
      <c r="F72" s="204" t="n"/>
    </row>
    <row r="73" ht="21" customHeight="1" s="125">
      <c r="A73" s="223" t="inlineStr">
        <is>
          <t>Times referral C-002 appears in the linelist (duplicate counted once)  (L3-18.1)</t>
        </is>
      </c>
      <c r="B73" s="204" t="n"/>
      <c r="C73" s="224">
        <f>'Test Data'!B113</f>
        <v/>
      </c>
      <c r="D73" s="225">
        <f>IF('Test Data'!C113="","—",'Test Data'!C113)</f>
        <v/>
      </c>
      <c r="E73" s="226">
        <f>IF('Test Data'!D113="MATCH","✓ MATCH",IF('Test Data'!D113="MISMATCH","✗ MISMATCH","○ Not yet compared"))</f>
        <v/>
      </c>
      <c r="F73" s="204" t="n"/>
    </row>
    <row r="74" ht="21" customHeight="1" s="125">
      <c r="A74" s="223" t="inlineStr">
        <is>
          <t>Cancelled referrals shown as cancelled  (L3-18.2)</t>
        </is>
      </c>
      <c r="B74" s="204" t="n"/>
      <c r="C74" s="224">
        <f>'Test Data'!B114</f>
        <v/>
      </c>
      <c r="D74" s="225">
        <f>IF('Test Data'!C114="","—",'Test Data'!C114)</f>
        <v/>
      </c>
      <c r="E74" s="226">
        <f>IF('Test Data'!D114="MATCH","✓ MATCH",IF('Test Data'!D114="MISMATCH","✗ MISMATCH","○ Not yet compared"))</f>
        <v/>
      </c>
      <c r="F74" s="204" t="n"/>
    </row>
    <row r="75" ht="21" customHeight="1" s="125">
      <c r="A75" s="223" t="inlineStr">
        <is>
          <t>First run — Received (distinct)  (L3-19)</t>
        </is>
      </c>
      <c r="B75" s="204" t="n"/>
      <c r="C75" s="224">
        <f>'Test Data'!B115</f>
        <v/>
      </c>
      <c r="D75" s="225">
        <f>IF('Test Data'!C115="","—",'Test Data'!C115)</f>
        <v/>
      </c>
      <c r="E75" s="226">
        <f>IF('Test Data'!D115="MATCH","✓ MATCH",IF('Test Data'!D115="MISMATCH","✗ MISMATCH","○ Not yet compared"))</f>
        <v/>
      </c>
      <c r="F75" s="204" t="n"/>
    </row>
    <row r="76" ht="21" customHeight="1" s="125">
      <c r="A76" s="223" t="inlineStr">
        <is>
          <t>First run — Accepted (distinct)  (L3-19)</t>
        </is>
      </c>
      <c r="B76" s="204" t="n"/>
      <c r="C76" s="224">
        <f>'Test Data'!B116</f>
        <v/>
      </c>
      <c r="D76" s="225">
        <f>IF('Test Data'!C116="","—",'Test Data'!C116)</f>
        <v/>
      </c>
      <c r="E76" s="226">
        <f>IF('Test Data'!D116="MATCH","✓ MATCH",IF('Test Data'!D116="MISMATCH","✗ MISMATCH","○ Not yet compared"))</f>
        <v/>
      </c>
      <c r="F76" s="204" t="n"/>
    </row>
    <row r="77" ht="21" customHeight="1" s="125">
      <c r="A77" s="223" t="inlineStr">
        <is>
          <t>After late update — Received (distinct)  (L3-19.1)</t>
        </is>
      </c>
      <c r="B77" s="204" t="n"/>
      <c r="C77" s="224">
        <f>'Test Data'!B117</f>
        <v/>
      </c>
      <c r="D77" s="225">
        <f>IF('Test Data'!C117="","—",'Test Data'!C117)</f>
        <v/>
      </c>
      <c r="E77" s="226">
        <f>IF('Test Data'!D117="MATCH","✓ MATCH",IF('Test Data'!D117="MISMATCH","✗ MISMATCH","○ Not yet compared"))</f>
        <v/>
      </c>
      <c r="F77" s="204" t="n"/>
    </row>
    <row r="78" ht="21" customHeight="1" s="125">
      <c r="A78" s="223" t="inlineStr">
        <is>
          <t>After late update — Deferred / denied (distinct)  (L3-19.1)</t>
        </is>
      </c>
      <c r="B78" s="204" t="n"/>
      <c r="C78" s="224">
        <f>'Test Data'!B118</f>
        <v/>
      </c>
      <c r="D78" s="225">
        <f>IF('Test Data'!C118="","—",'Test Data'!C118)</f>
        <v/>
      </c>
      <c r="E78" s="226">
        <f>IF('Test Data'!D118="MATCH","✓ MATCH",IF('Test Data'!D118="MISMATCH","✗ MISMATCH","○ Not yet compared"))</f>
        <v/>
      </c>
      <c r="F78" s="204" t="n"/>
    </row>
    <row r="79" ht="21" customHeight="1" s="125">
      <c r="A79" s="223" t="inlineStr">
        <is>
          <t>After late update — Completed (distinct)  (L3-19.3)</t>
        </is>
      </c>
      <c r="B79" s="204" t="n"/>
      <c r="C79" s="224">
        <f>'Test Data'!B119</f>
        <v/>
      </c>
      <c r="D79" s="225">
        <f>IF('Test Data'!C119="","—",'Test Data'!C119)</f>
        <v/>
      </c>
      <c r="E79" s="226">
        <f>IF('Test Data'!D119="MATCH","✓ MATCH",IF('Test Data'!D119="MISMATCH","✗ MISMATCH","○ Not yet compared"))</f>
        <v/>
      </c>
      <c r="F79" s="204" t="n"/>
    </row>
    <row r="80" ht="21" customHeight="1" s="125">
      <c r="A80" s="223" t="inlineStr">
        <is>
          <t>TAT of C2 in minutes (first received − referred)  (L3-19.2)</t>
        </is>
      </c>
      <c r="B80" s="204" t="n"/>
      <c r="C80" s="224">
        <f>'Test Data'!B120</f>
        <v/>
      </c>
      <c r="D80" s="225">
        <f>IF('Test Data'!C120="","—",'Test Data'!C120)</f>
        <v/>
      </c>
      <c r="E80" s="226">
        <f>IF('Test Data'!D120="MATCH","✓ MATCH",IF('Test Data'!D120="MISMATCH","✗ MISMATCH","○ Not yet compared"))</f>
        <v/>
      </c>
      <c r="F80" s="204" t="n"/>
    </row>
    <row r="81" ht="21" customHeight="1" s="125">
      <c r="A81" s="223" t="inlineStr">
        <is>
          <t>Filter: Incoming + Private + Emergency (Section C)  (L3-20.1)</t>
        </is>
      </c>
      <c r="B81" s="204" t="n"/>
      <c r="C81" s="224">
        <f>'Test Data'!B121</f>
        <v/>
      </c>
      <c r="D81" s="225">
        <f>IF('Test Data'!C121="","—",'Test Data'!C121)</f>
        <v/>
      </c>
      <c r="E81" s="226">
        <f>IF('Test Data'!D121="MATCH","✓ MATCH",IF('Test Data'!D121="MISMATCH","✗ MISMATCH","○ Not yet compared"))</f>
        <v/>
      </c>
      <c r="F81" s="204" t="n"/>
    </row>
    <row r="82" ht="21" customHeight="1" s="125">
      <c r="A82" s="223" t="inlineStr">
        <is>
          <t>Filter: Outgoing + Level 2 receiving capability + Consultation (Section B)  (L3-20.2)</t>
        </is>
      </c>
      <c r="B82" s="204" t="n"/>
      <c r="C82" s="224">
        <f>'Test Data'!B122</f>
        <v/>
      </c>
      <c r="D82" s="225">
        <f>IF('Test Data'!C122="","—",'Test Data'!C122)</f>
        <v/>
      </c>
      <c r="E82" s="226">
        <f>IF('Test Data'!D122="MATCH","✓ MATCH",IF('Test Data'!D122="MISMATCH","✗ MISMATCH","○ Not yet compared"))</f>
        <v/>
      </c>
      <c r="F82" s="204" t="n"/>
    </row>
    <row r="83" ht="21" customHeight="1" s="125">
      <c r="A83" s="223" t="inlineStr">
        <is>
          <t>Filter: reporting month + Facility F (Section C)  (L3-20.3)</t>
        </is>
      </c>
      <c r="B83" s="204" t="n"/>
      <c r="C83" s="224">
        <f>'Test Data'!B123</f>
        <v/>
      </c>
      <c r="D83" s="225">
        <f>IF('Test Data'!C123="","—",'Test Data'!C123)</f>
        <v/>
      </c>
      <c r="E83" s="226">
        <f>IF('Test Data'!D123="MATCH","✓ MATCH",IF('Test Data'!D123="MISMATCH","✗ MISMATCH","○ Not yet compared"))</f>
        <v/>
      </c>
      <c r="F83" s="204" t="n"/>
    </row>
    <row r="84"/>
    <row r="85" ht="13.5" customHeight="1" s="125">
      <c r="A85" s="198" t="inlineStr">
        <is>
          <t>Republic of the Philippines</t>
        </is>
      </c>
    </row>
    <row r="86" ht="13.5" customHeight="1" s="125">
      <c r="A86" s="199" t="inlineStr">
        <is>
          <t>Department of Health</t>
        </is>
      </c>
    </row>
    <row r="87" ht="13.5" customHeight="1" s="125">
      <c r="A87" s="200">
        <f>UPPER('System Profile'!C33)</f>
        <v/>
      </c>
    </row>
    <row r="88" ht="21.75" customHeight="1" s="125">
      <c r="A88" s="221" t="n"/>
    </row>
    <row r="89" ht="15" customHeight="1" s="125">
      <c r="A89" s="202" t="inlineStr">
        <is>
          <t>D. ITEMS NEEDING COMPLIANCE (auto — from every criteria sheet)</t>
        </is>
      </c>
      <c r="B89" s="203" t="n"/>
      <c r="C89" s="203" t="n"/>
      <c r="D89" s="203" t="n"/>
      <c r="E89" s="203" t="n"/>
      <c r="F89" s="204" t="n"/>
    </row>
    <row r="90" ht="15" customHeight="1" s="125">
      <c r="A90" s="222" t="inlineStr">
        <is>
          <t>Level / part</t>
        </is>
      </c>
      <c r="B90" s="204" t="n"/>
      <c r="C90" s="222" t="inlineStr">
        <is>
          <t>Critical not met</t>
        </is>
      </c>
      <c r="D90" s="222" t="inlineStr">
        <is>
          <t>Criteria needing compliance (Ref IDs)</t>
        </is>
      </c>
      <c r="E90" s="203" t="n"/>
      <c r="F90" s="204" t="n"/>
    </row>
    <row r="91" ht="15" customHeight="1" s="125">
      <c r="A91" s="223" t="inlineStr">
        <is>
          <t>Level 0 — Application</t>
        </is>
      </c>
      <c r="B91" s="204" t="n"/>
      <c r="C91" s="224">
        <f>'L0 Application'!D6</f>
        <v/>
      </c>
      <c r="D91" s="225">
        <f>IF(_xlfn.TEXTJOIN(", ",TRUE(),'L0 Application'!$W$10:$W$300)="","—",_xlfn.TEXTJOIN(", ",TRUE(),'L0 Application'!$W$10:$W$300))</f>
        <v/>
      </c>
      <c r="E91" s="203" t="n"/>
      <c r="F91" s="204" t="n"/>
    </row>
    <row r="92" ht="15" customHeight="1" s="125">
      <c r="A92" s="223" t="inlineStr">
        <is>
          <t>Level 1 — Documentation</t>
        </is>
      </c>
      <c r="B92" s="204" t="n"/>
      <c r="C92" s="224">
        <f>'L1 Documentation'!D6</f>
        <v/>
      </c>
      <c r="D92" s="225">
        <f>IF(_xlfn.TEXTJOIN(", ",TRUE(),'L1 Documentation'!$W$10:$W$300)="","—",_xlfn.TEXTJOIN(", ",TRUE(),'L1 Documentation'!$W$10:$W$300))</f>
        <v/>
      </c>
      <c r="E92" s="203" t="n"/>
      <c r="F92" s="204" t="n"/>
    </row>
    <row r="93" ht="15" customHeight="1" s="125">
      <c r="A93" s="223" t="inlineStr">
        <is>
          <t>2A — TS0 Terminology</t>
        </is>
      </c>
      <c r="B93" s="204" t="n"/>
      <c r="C93" s="224">
        <f>'L2-A TS0-Terminology'!D6</f>
        <v/>
      </c>
      <c r="D93" s="225">
        <f>IF(_xlfn.TEXTJOIN(", ",TRUE(),'L2-A TS0-Terminology'!$W$10:$W$300)="","—",_xlfn.TEXTJOIN(", ",TRUE(),'L2-A TS0-Terminology'!$W$10:$W$300))</f>
        <v/>
      </c>
      <c r="E93" s="203" t="n"/>
      <c r="F93" s="204" t="n"/>
    </row>
    <row r="94" ht="15" customHeight="1" s="125">
      <c r="A94" s="223" t="inlineStr">
        <is>
          <t>2B — TS1 Submission</t>
        </is>
      </c>
      <c r="B94" s="204" t="n"/>
      <c r="C94" s="224">
        <f>'L2-B TS1-Submission'!D6</f>
        <v/>
      </c>
      <c r="D94" s="225">
        <f>IF(_xlfn.TEXTJOIN(", ",TRUE(),'L2-B TS1-Submission'!$W$10:$W$300)="","—",_xlfn.TEXTJOIN(", ",TRUE(),'L2-B TS1-Submission'!$W$10:$W$300))</f>
        <v/>
      </c>
      <c r="E94" s="203" t="n"/>
      <c r="F94" s="204" t="n"/>
    </row>
    <row r="95" ht="15" customHeight="1" s="125">
      <c r="A95" s="223" t="inlineStr">
        <is>
          <t>2C — TS2 Retrieval</t>
        </is>
      </c>
      <c r="B95" s="204" t="n"/>
      <c r="C95" s="224">
        <f>'L2-C TS2-Retrieval'!D6</f>
        <v/>
      </c>
      <c r="D95" s="225">
        <f>IF(_xlfn.TEXTJOIN(", ",TRUE(),'L2-C TS2-Retrieval'!$W$10:$W$300)="","—",_xlfn.TEXTJOIN(", ",TRUE(),'L2-C TS2-Retrieval'!$W$10:$W$300))</f>
        <v/>
      </c>
      <c r="E95" s="203" t="n"/>
      <c r="F95" s="204" t="n"/>
    </row>
    <row r="96" ht="15" customHeight="1" s="125">
      <c r="A96" s="223" t="inlineStr">
        <is>
          <t>2D — Security, Reliability &amp; Exceptions</t>
        </is>
      </c>
      <c r="B96" s="204" t="n"/>
      <c r="C96" s="224">
        <f>'L2-D System Resilience'!D6</f>
        <v/>
      </c>
      <c r="D96" s="225">
        <f>IF(_xlfn.TEXTJOIN(", ",TRUE(),'L2-D System Resilience'!$W$10:$W$300)="","—",_xlfn.TEXTJOIN(", ",TRUE(),'L2-D System Resilience'!$W$10:$W$300))</f>
        <v/>
      </c>
      <c r="E96" s="203" t="n"/>
      <c r="F96" s="204" t="n"/>
    </row>
    <row r="97" ht="15" customHeight="1" s="125">
      <c r="A97" s="223" t="inlineStr">
        <is>
          <t>Level 3 — Reports</t>
        </is>
      </c>
      <c r="B97" s="204" t="n"/>
      <c r="C97" s="224">
        <f>'L3 Reports'!D6</f>
        <v/>
      </c>
      <c r="D97" s="225">
        <f>IF(_xlfn.TEXTJOIN(", ",TRUE(),'L3 Reports'!$W$10:$W$300)="","—",_xlfn.TEXTJOIN(", ",TRUE(),'L3 Reports'!$W$10:$W$300))</f>
        <v/>
      </c>
      <c r="E97" s="203" t="n"/>
      <c r="F97" s="204" t="n"/>
    </row>
    <row r="98" ht="15" customHeight="1" s="125">
      <c r="A98" s="223" t="inlineStr">
        <is>
          <t>Level 4 — Advanced</t>
        </is>
      </c>
      <c r="B98" s="204" t="n"/>
      <c r="C98" s="224">
        <f>'L4 Advanced'!D6</f>
        <v/>
      </c>
      <c r="D98" s="225">
        <f>IF(_xlfn.TEXTJOIN(", ",TRUE(),'L4 Advanced'!$W$10:$W$300)="","—",_xlfn.TEXTJOIN(", ",TRUE(),'L4 Advanced'!$W$10:$W$300))</f>
        <v/>
      </c>
      <c r="E98" s="203" t="n"/>
      <c r="F98" s="204" t="n"/>
    </row>
    <row r="99" ht="12" customHeight="1" s="125">
      <c r="A99" s="227" t="inlineStr">
        <is>
          <t>Certificate condition: no critical item Not Met</t>
        </is>
      </c>
      <c r="B99" s="204" t="n"/>
      <c r="C99" s="224">
        <f>SUM(C91:C98)</f>
        <v/>
      </c>
      <c r="D99" s="225">
        <f>IF(C99=0,"✓ MET — no critical item open","✗ NOT MET — certificate cannot be issued")</f>
        <v/>
      </c>
      <c r="E99" s="203" t="n"/>
      <c r="F99" s="204" t="n"/>
    </row>
    <row r="100"/>
    <row r="101" ht="15" customHeight="1" s="125">
      <c r="A101" s="202" t="inlineStr">
        <is>
          <t>E. CERTIFICATE DETAILS (System Profile section D)</t>
        </is>
      </c>
      <c r="B101" s="203" t="n"/>
      <c r="C101" s="203" t="n"/>
      <c r="D101" s="203" t="n"/>
      <c r="E101" s="203" t="n"/>
      <c r="F101" s="204" t="n"/>
    </row>
    <row r="102" ht="15" customHeight="1" s="125">
      <c r="A102" s="206" t="inlineStr">
        <is>
          <t>Certificate no. · date</t>
        </is>
      </c>
      <c r="B102" s="207">
        <f>IF('System Profile'!C40="","(assigned on approval)",'System Profile'!C40)&amp;"  ·  "&amp;IF('System Profile'!C41="","—",TEXT('System Profile'!C41,"dd mmm yyyy"))</f>
        <v/>
      </c>
      <c r="C102" s="203" t="n"/>
      <c r="D102" s="203" t="n"/>
      <c r="E102" s="203" t="n"/>
      <c r="F102" s="204" t="n"/>
    </row>
    <row r="103" ht="15" customHeight="1" s="125">
      <c r="A103" s="206" t="inlineStr">
        <is>
          <t>Product · version</t>
        </is>
      </c>
      <c r="B103" s="207">
        <f>IF('System Profile'!C7="","—",'System Profile'!C7)&amp;"  ·  "&amp;IF('System Profile'!C36&lt;&gt;"",'System Profile'!C36,IF('System Profile'!C8="","—",'System Profile'!C8))</f>
        <v/>
      </c>
      <c r="C103" s="203" t="n"/>
      <c r="D103" s="203" t="n"/>
      <c r="E103" s="203" t="n"/>
      <c r="F103" s="204" t="n"/>
    </row>
    <row r="104" ht="15" customHeight="1" s="125">
      <c r="A104" s="206" t="inlineStr">
        <is>
          <t>IG versions</t>
        </is>
      </c>
      <c r="B104" s="207">
        <f>"PH Core "&amp;IF('System Profile'!C37="","—",'System Profile'!C37)&amp;"  ·  PHeReF "&amp;IF('System Profile'!C38="","—",'System Profile'!C38)</f>
        <v/>
      </c>
      <c r="C104" s="203" t="n"/>
      <c r="D104" s="203" t="n"/>
      <c r="E104" s="203" t="n"/>
      <c r="F104" s="204" t="n"/>
    </row>
    <row r="105" ht="15" customHeight="1" s="125">
      <c r="A105" s="206" t="inlineStr">
        <is>
          <t>Terminology release</t>
        </is>
      </c>
      <c r="B105" s="207">
        <f>IF('System Profile'!C39="","—",'System Profile'!C39)</f>
        <v/>
      </c>
      <c r="C105" s="203" t="n"/>
      <c r="D105" s="203" t="n"/>
      <c r="E105" s="203" t="n"/>
      <c r="F105" s="204" t="n"/>
    </row>
    <row r="106" ht="15" customHeight="1" s="125">
      <c r="A106" s="206" t="inlineStr">
        <is>
          <t>Scope</t>
        </is>
      </c>
      <c r="B106" s="207">
        <f>"Electronic referral — sender (TS1) and receiver (TS2); deployment: "&amp;IF('System Profile'!C12="","—",'System Profile'!C12)</f>
        <v/>
      </c>
      <c r="C106" s="203" t="n"/>
      <c r="D106" s="203" t="n"/>
      <c r="E106" s="203" t="n"/>
      <c r="F106" s="204" t="n"/>
    </row>
    <row r="107" ht="15" customHeight="1" s="125">
      <c r="A107" s="206" t="inlineStr">
        <is>
          <t>Level achieved</t>
        </is>
      </c>
      <c r="B107" s="207">
        <f>Summary!C18&amp;IF(Summary!C23&lt;&gt;"Approved","  (thresholds PROPOSED — provisional)","")</f>
        <v/>
      </c>
      <c r="C107" s="203" t="n"/>
      <c r="D107" s="203" t="n"/>
      <c r="E107" s="203" t="n"/>
      <c r="F107" s="204" t="n"/>
    </row>
    <row r="108" ht="15" customHeight="1" s="125">
      <c r="A108" s="206" t="inlineStr">
        <is>
          <t>Date(s) of testing</t>
        </is>
      </c>
      <c r="B108" s="207">
        <f>IF(COUNTA('System Profile'!C27:C31)=0,"—",_xlfn.TEXTJOIN("; ",TRUE(),'System Profile'!C27:C31))</f>
        <v/>
      </c>
      <c r="C108" s="203" t="n"/>
      <c r="D108" s="203" t="n"/>
      <c r="E108" s="203" t="n"/>
      <c r="F108" s="204" t="n"/>
    </row>
    <row r="109" ht="15" customHeight="1" s="125">
      <c r="A109" s="206" t="inlineStr">
        <is>
          <t>Valid until</t>
        </is>
      </c>
      <c r="B109" s="207">
        <f>IF('System Profile'!C42="","2 years from approval or until a major change / IG major version (PROPOSED)",TEXT('System Profile'!C42,"dd mmm yyyy"))</f>
        <v/>
      </c>
      <c r="C109" s="203" t="n"/>
      <c r="D109" s="203" t="n"/>
      <c r="E109" s="203" t="n"/>
      <c r="F109" s="204" t="n"/>
    </row>
    <row r="110" ht="15" customHeight="1" s="125">
      <c r="A110" s="206" t="inlineStr">
        <is>
          <t>Conditions</t>
        </is>
      </c>
      <c r="B110" s="207">
        <f>IF('System Profile'!C43="","None recorded",'System Profile'!C43)</f>
        <v/>
      </c>
      <c r="C110" s="203" t="n"/>
      <c r="D110" s="203" t="n"/>
      <c r="E110" s="203" t="n"/>
      <c r="F110" s="204" t="n"/>
    </row>
    <row r="111"/>
    <row r="112" ht="15" customHeight="1" s="125">
      <c r="A112" s="202" t="inlineStr">
        <is>
          <t>F. SIGN-OFF</t>
        </is>
      </c>
      <c r="B112" s="203" t="n"/>
      <c r="C112" s="203" t="n"/>
      <c r="D112" s="203" t="n"/>
      <c r="E112" s="203" t="n"/>
      <c r="F112" s="204" t="n"/>
    </row>
    <row r="113" ht="15" customHeight="1" s="125">
      <c r="A113" s="220" t="inlineStr">
        <is>
          <t>Names, agencies and designations are taken from System Profile section C. Optional roles that are not assigned are marked "— not assigned —".</t>
        </is>
      </c>
    </row>
    <row r="114" ht="13.5" customHeight="1" s="125">
      <c r="A114" s="222" t="inlineStr">
        <is>
          <t>Role</t>
        </is>
      </c>
      <c r="B114" s="222" t="inlineStr">
        <is>
          <t>Name · Designation · Agency</t>
        </is>
      </c>
      <c r="C114" s="222" t="inlineStr">
        <is>
          <t>Signature</t>
        </is>
      </c>
      <c r="D114" s="203" t="n"/>
      <c r="E114" s="204" t="n"/>
      <c r="F114" s="222" t="inlineStr">
        <is>
          <t>Date</t>
        </is>
      </c>
    </row>
    <row r="115" ht="42" customHeight="1" s="125">
      <c r="A115" s="228" t="inlineStr">
        <is>
          <t>Validated by
Validator 1</t>
        </is>
      </c>
      <c r="B115" s="207">
        <f>IF('System Profile'!C20="","(name to be entered in System Profile C)",'System Profile'!C20&amp;CHAR(10)&amp;IF('System Profile'!E20="","",'System Profile'!E20)&amp;IF(AND('System Profile'!E20&lt;&gt;"",'System Profile'!D20&lt;&gt;"")," · ","")&amp;IF('System Profile'!D20="","",'System Profile'!D20))</f>
        <v/>
      </c>
      <c r="C115" s="229">
        <f>IF(AND('System Profile'!C20="",FALSE()),"","")</f>
        <v/>
      </c>
      <c r="D115" s="203" t="n"/>
      <c r="E115" s="204" t="n"/>
      <c r="F115" s="230">
        <f>IF(AND('System Profile'!C20="",FALSE()),"—","")</f>
        <v/>
      </c>
    </row>
    <row r="116" ht="42" customHeight="1" s="125">
      <c r="A116" s="228" t="inlineStr">
        <is>
          <t>Validated by
Validator 2</t>
        </is>
      </c>
      <c r="B116" s="207">
        <f>IF('System Profile'!C21="","(name to be entered in System Profile C)",'System Profile'!C21&amp;CHAR(10)&amp;IF('System Profile'!E21="","",'System Profile'!E21)&amp;IF(AND('System Profile'!E21&lt;&gt;"",'System Profile'!D21&lt;&gt;"")," · ","")&amp;IF('System Profile'!D21="","",'System Profile'!D21))</f>
        <v/>
      </c>
      <c r="C116" s="229">
        <f>IF(AND('System Profile'!C21="",FALSE()),"","")</f>
        <v/>
      </c>
      <c r="D116" s="203" t="n"/>
      <c r="E116" s="204" t="n"/>
      <c r="F116" s="230">
        <f>IF(AND('System Profile'!C21="",FALSE()),"—","")</f>
        <v/>
      </c>
    </row>
    <row r="117" ht="42" customHeight="1" s="125">
      <c r="A117" s="228" t="inlineStr">
        <is>
          <t>Validated by
Validator 3</t>
        </is>
      </c>
      <c r="B117" s="207">
        <f>IF('System Profile'!C22="","— not assigned —",'System Profile'!C22&amp;CHAR(10)&amp;IF('System Profile'!E22="","",'System Profile'!E22)&amp;IF(AND('System Profile'!E22&lt;&gt;"",'System Profile'!D22&lt;&gt;"")," · ","")&amp;IF('System Profile'!D22="","",'System Profile'!D22))</f>
        <v/>
      </c>
      <c r="C117" s="229">
        <f>IF(AND('System Profile'!C22="",TRUE()),"","")</f>
        <v/>
      </c>
      <c r="D117" s="203" t="n"/>
      <c r="E117" s="204" t="n"/>
      <c r="F117" s="230">
        <f>IF(AND('System Profile'!C22="",TRUE()),"—","")</f>
        <v/>
      </c>
    </row>
    <row r="118" ht="42" customHeight="1" s="125">
      <c r="A118" s="228" t="inlineStr">
        <is>
          <t>Witnessed by
Observer 1</t>
        </is>
      </c>
      <c r="B118" s="207">
        <f>IF('System Profile'!C24="","(name to be entered in System Profile C)",'System Profile'!C24&amp;CHAR(10)&amp;IF('System Profile'!E24="","",'System Profile'!E24)&amp;IF(AND('System Profile'!E24&lt;&gt;"",'System Profile'!D24&lt;&gt;"")," · ","")&amp;IF('System Profile'!D24="","",'System Profile'!D24))</f>
        <v/>
      </c>
      <c r="C118" s="229">
        <f>IF(AND('System Profile'!C24="",FALSE()),"","")</f>
        <v/>
      </c>
      <c r="D118" s="203" t="n"/>
      <c r="E118" s="204" t="n"/>
      <c r="F118" s="230">
        <f>IF(AND('System Profile'!C24="",FALSE()),"—","")</f>
        <v/>
      </c>
    </row>
    <row r="119" ht="42" customHeight="1" s="125">
      <c r="A119" s="228" t="inlineStr">
        <is>
          <t>Witnessed by
Observer 2</t>
        </is>
      </c>
      <c r="B119" s="207">
        <f>IF('System Profile'!C25="","— not assigned —",'System Profile'!C25&amp;CHAR(10)&amp;IF('System Profile'!E25="","",'System Profile'!E25)&amp;IF(AND('System Profile'!E25&lt;&gt;"",'System Profile'!D25&lt;&gt;"")," · ","")&amp;IF('System Profile'!D25="","",'System Profile'!D25))</f>
        <v/>
      </c>
      <c r="C119" s="229">
        <f>IF(AND('System Profile'!C25="",TRUE()),"","")</f>
        <v/>
      </c>
      <c r="D119" s="203" t="n"/>
      <c r="E119" s="204" t="n"/>
      <c r="F119" s="230">
        <f>IF(AND('System Profile'!C25="",TRUE()),"—","")</f>
        <v/>
      </c>
    </row>
    <row r="120" ht="42" customHeight="1" s="125">
      <c r="A120" s="228" t="inlineStr">
        <is>
          <t>Processed by
Administrator</t>
        </is>
      </c>
      <c r="B120" s="207">
        <f>IF('System Profile'!C23="","(name to be entered in System Profile C)",'System Profile'!C23&amp;CHAR(10)&amp;IF('System Profile'!E23="","",'System Profile'!E23)&amp;IF(AND('System Profile'!E23&lt;&gt;"",'System Profile'!D23&lt;&gt;"")," · ","")&amp;IF('System Profile'!D23="","",'System Profile'!D23))</f>
        <v/>
      </c>
      <c r="C120" s="229">
        <f>IF(AND('System Profile'!C23="",FALSE()),"","")</f>
        <v/>
      </c>
      <c r="D120" s="203" t="n"/>
      <c r="E120" s="204" t="n"/>
      <c r="F120" s="230">
        <f>IF(AND('System Profile'!C23="",FALSE()),"—","")</f>
        <v/>
      </c>
    </row>
    <row r="121" ht="42" customHeight="1" s="125">
      <c r="A121" s="228" t="inlineStr">
        <is>
          <t>Approved by
Technical Lead</t>
        </is>
      </c>
      <c r="B121" s="207">
        <f>IF('System Profile'!C19="","(name to be entered in System Profile C)",'System Profile'!C19&amp;CHAR(10)&amp;IF('System Profile'!E19="","",'System Profile'!E19)&amp;IF(AND('System Profile'!E19&lt;&gt;"",'System Profile'!D19&lt;&gt;"")," · ","")&amp;IF('System Profile'!D19="","",'System Profile'!D19))</f>
        <v/>
      </c>
      <c r="C121" s="229">
        <f>IF(AND('System Profile'!C19="",FALSE()),"","")</f>
        <v/>
      </c>
      <c r="D121" s="203" t="n"/>
      <c r="E121" s="204" t="n"/>
      <c r="F121" s="230">
        <f>IF(AND('System Profile'!C19="",FALSE()),"—","")</f>
        <v/>
      </c>
    </row>
    <row r="122" ht="42" customHeight="1" s="125">
      <c r="A122" s="228" t="inlineStr">
        <is>
          <t>Conforme
Vendor / Developer</t>
        </is>
      </c>
      <c r="B122" s="231" t="inlineStr">
        <is>
          <t>Authorized signatory:
Name · Designation</t>
        </is>
      </c>
      <c r="C122" s="229" t="n"/>
      <c r="D122" s="203" t="n"/>
      <c r="E122" s="204" t="n"/>
      <c r="F122" s="225" t="n"/>
    </row>
    <row r="123"/>
    <row r="124" ht="13.5" customHeight="1" s="125">
      <c r="A124" s="198" t="inlineStr">
        <is>
          <t>Republic of the Philippines</t>
        </is>
      </c>
    </row>
    <row r="125" ht="13.5" customHeight="1" s="125">
      <c r="A125" s="199" t="inlineStr">
        <is>
          <t>Department of Health</t>
        </is>
      </c>
    </row>
    <row r="126" ht="13.5" customHeight="1" s="125">
      <c r="A126" s="200">
        <f>UPPER('System Profile'!C33)</f>
        <v/>
      </c>
    </row>
    <row r="127" ht="13.5" customHeight="1" s="125">
      <c r="A127" s="199" t="n"/>
    </row>
    <row r="128" ht="18" customHeight="1" s="125">
      <c r="A128" s="206" t="inlineStr">
        <is>
          <t>System name</t>
        </is>
      </c>
      <c r="B128" s="207">
        <f>IF('System Profile'!C7="","—",'System Profile'!C7)</f>
        <v/>
      </c>
      <c r="C128" s="206" t="inlineStr">
        <is>
          <t>Version / build</t>
        </is>
      </c>
      <c r="D128" s="204" t="n"/>
      <c r="E128" s="207">
        <f>IF('System Profile'!C8="","—",'System Profile'!C8)</f>
        <v/>
      </c>
      <c r="F128" s="204" t="n"/>
    </row>
    <row r="129" ht="18" customHeight="1" s="125">
      <c r="A129" s="206" t="inlineStr">
        <is>
          <t>Vendor / developer</t>
        </is>
      </c>
      <c r="B129" s="207">
        <f>IF('System Profile'!C6="","—",'System Profile'!C6)</f>
        <v/>
      </c>
      <c r="C129" s="206" t="inlineStr">
        <is>
          <t>Application No.</t>
        </is>
      </c>
      <c r="D129" s="204" t="n"/>
      <c r="E129" s="207">
        <f>IF('System Profile'!C5="","—",'System Profile'!C5)</f>
        <v/>
      </c>
      <c r="F129" s="204" t="n"/>
    </row>
    <row r="130" ht="15.75" customHeight="1" s="125">
      <c r="A130" s="232" t="inlineStr">
        <is>
          <t>Highest level achieved:</t>
        </is>
      </c>
      <c r="B130" s="204" t="n"/>
      <c r="C130" s="209">
        <f>Summary!C18</f>
        <v/>
      </c>
      <c r="D130" s="204" t="n"/>
      <c r="E130" s="206" t="inlineStr">
        <is>
          <t>HIE use:</t>
        </is>
      </c>
      <c r="F130" s="233">
        <f>IF(Summary!I14="PASSED","✓ CONFORMANT (Levels 0–3 passed)","NOT YET CONFORMANT")</f>
        <v/>
      </c>
    </row>
    <row r="131" ht="19.5" customHeight="1" s="125">
      <c r="A131" s="234" t="inlineStr">
        <is>
          <t>TESTING CRITERIA BREAKDOWN REPORT</t>
        </is>
      </c>
    </row>
    <row r="132" ht="15.75" customHeight="1" s="125">
      <c r="A132" s="235" t="inlineStr">
        <is>
          <t>Ref</t>
        </is>
      </c>
      <c r="B132" s="235" t="inlineStr">
        <is>
          <t>Criterion  (guides on the shaded row below)</t>
        </is>
      </c>
      <c r="C132" s="235" t="inlineStr">
        <is>
          <t>Type · W</t>
        </is>
      </c>
      <c r="D132" s="235" t="inlineStr">
        <is>
          <t>Result</t>
        </is>
      </c>
      <c r="E132" s="235" t="inlineStr">
        <is>
          <t>Score</t>
        </is>
      </c>
      <c r="F132" s="235" t="inlineStr">
        <is>
          <t>Outstanding / notes</t>
        </is>
      </c>
    </row>
    <row r="133" ht="15" customHeight="1" s="125">
      <c r="A133" s="236" t="inlineStr">
        <is>
          <t>LEVEL 0 — APPLICATION &amp; COMMITMENT</t>
        </is>
      </c>
      <c r="B133" s="203" t="n"/>
      <c r="C133" s="203" t="n"/>
      <c r="D133" s="203" t="n"/>
      <c r="E133" s="203" t="n"/>
      <c r="F133" s="204" t="n"/>
    </row>
    <row r="134" ht="13.5" customHeight="1" s="125">
      <c r="A134" s="237">
        <f>"Score: "&amp;TEXT('L0 Application'!D4,"0.0%")&amp;"  ·  Threshold: "&amp;TEXT('L0 Application'!D5,"0%")&amp;"  ·  Critical not met: "&amp;'L0 Application'!D6&amp;"  ·  Not tested: "&amp;'L0 Application'!F4&amp;" of "&amp;'L0 Application'!F7&amp;"  ·  Status: "&amp;'L0 Application'!F6</f>
        <v/>
      </c>
      <c r="B134" s="203" t="n"/>
      <c r="C134" s="203" t="n"/>
      <c r="D134" s="203" t="n"/>
      <c r="E134" s="203" t="n"/>
      <c r="F134" s="204" t="n"/>
    </row>
    <row r="135" ht="56" customHeight="1" s="125">
      <c r="A135" s="238">
        <f>'L0 Application'!A10</f>
        <v/>
      </c>
      <c r="B135" s="239">
        <f>'L0 Application'!C10&amp;CHAR(10)&amp;"["&amp;'L0 Application'!B10&amp;" · "&amp;'L0 Application'!G10&amp;"]"</f>
        <v/>
      </c>
      <c r="C135" s="240">
        <f>IF('L0 Application'!I10=0,"Info only",IF('L0 Application'!H10="Yes","★ CRITICAL"&amp;CHAR(10),IF('L0 Application'!H10="★ subs","★ critical sub-items"&amp;CHAR(10),""))&amp;'L0 Application'!J10&amp;" · W"&amp;'L0 Application'!I10)</f>
        <v/>
      </c>
      <c r="D135" s="226">
        <f>IF('L0 Application'!I10=0,"— Not scored",IF('L0 Application'!J10="Tier",IF('L0 Application'!M10="Fully integrated","✓ FULLY INTEGRATED",IF('L0 Application'!M10="Not Met","✗ NOT MET",IF('L0 Application'!M10="Not Tested","○ NOT TESTED","◐ "&amp;UPPER('L0 Application'!M10)))),IF('L0 Application'!M10="Met","✓ MET",IF('L0 Application'!M10="Not Met","✗ NOT MET",IF('L0 Application'!M10="N/A","— N/A",IF('L0 Application'!M10="Counted",IF(AND('L0 Application'!N10&gt;=1,'L0 Application'!S10=0),"✓ MET",IF('L0 Application'!J10="All-or-nothing","✗ NOT MET",IF('L0 Application'!S10=1,"✗ NOT MET (★)","◐ PARTIAL")))&amp;CHAR(10)&amp;"("&amp;'L0 Application'!L10&amp;" of "&amp;'L0 Application'!K10&amp;")","○ NOT TESTED"))))))</f>
        <v/>
      </c>
      <c r="E135" s="241">
        <f>IF('L0 Application'!N10="","—",'L0 Application'!N10)</f>
        <v/>
      </c>
      <c r="F135" s="223">
        <f>'L0 Application'!O10&amp;IF('L0 Application'!P10&lt;&gt;"",CHAR(10)&amp;"Notes: "&amp;'L0 Application'!P10,"")</f>
        <v/>
      </c>
    </row>
    <row r="136" ht="64" customHeight="1" s="125">
      <c r="A136" s="242" t="n"/>
      <c r="B136" s="243">
        <f>"Developer's Guide: "&amp;IFERROR(LEFT('L0 Application'!D10,FIND(CHAR(10)&amp;CHAR(10)&amp;"Purpose:",'L0 Application'!D10)-1),'L0 Application'!D10)</f>
        <v/>
      </c>
      <c r="C136" s="243">
        <f>"Validator's Guide: "&amp;'L0 Application'!E10&amp;CHAR(10)&amp;"Evidence: "&amp;'L0 Application'!F10</f>
        <v/>
      </c>
      <c r="D136" s="203" t="n"/>
      <c r="E136" s="203" t="n"/>
      <c r="F136" s="204" t="n"/>
    </row>
    <row r="137" ht="56" customHeight="1" s="125">
      <c r="A137" s="238">
        <f>'L0 Application'!A11</f>
        <v/>
      </c>
      <c r="B137" s="239">
        <f>'L0 Application'!C11&amp;CHAR(10)&amp;"["&amp;'L0 Application'!B11&amp;" · "&amp;'L0 Application'!G11&amp;"]"</f>
        <v/>
      </c>
      <c r="C137" s="240">
        <f>IF('L0 Application'!I11=0,"Info only",IF('L0 Application'!H11="Yes","★ CRITICAL"&amp;CHAR(10),IF('L0 Application'!H11="★ subs","★ critical sub-items"&amp;CHAR(10),""))&amp;'L0 Application'!J11&amp;" · W"&amp;'L0 Application'!I11)</f>
        <v/>
      </c>
      <c r="D137" s="226">
        <f>IF('L0 Application'!I11=0,"— Not scored",IF('L0 Application'!J11="Tier",IF('L0 Application'!M11="Fully integrated","✓ FULLY INTEGRATED",IF('L0 Application'!M11="Not Met","✗ NOT MET",IF('L0 Application'!M11="Not Tested","○ NOT TESTED","◐ "&amp;UPPER('L0 Application'!M11)))),IF('L0 Application'!M11="Met","✓ MET",IF('L0 Application'!M11="Not Met","✗ NOT MET",IF('L0 Application'!M11="N/A","— N/A",IF('L0 Application'!M11="Counted",IF(AND('L0 Application'!N11&gt;=1,'L0 Application'!S11=0),"✓ MET",IF('L0 Application'!J11="All-or-nothing","✗ NOT MET",IF('L0 Application'!S11=1,"✗ NOT MET (★)","◐ PARTIAL")))&amp;CHAR(10)&amp;"("&amp;'L0 Application'!L11&amp;" of "&amp;'L0 Application'!K11&amp;")","○ NOT TESTED"))))))</f>
        <v/>
      </c>
      <c r="E137" s="241">
        <f>IF('L0 Application'!N11="","—",'L0 Application'!N11)</f>
        <v/>
      </c>
      <c r="F137" s="223">
        <f>'L0 Application'!O11&amp;IF('L0 Application'!P11&lt;&gt;"",CHAR(10)&amp;"Notes: "&amp;'L0 Application'!P11,"")</f>
        <v/>
      </c>
    </row>
    <row r="138" ht="64" customHeight="1" s="125">
      <c r="A138" s="242" t="n"/>
      <c r="B138" s="243">
        <f>"Developer's Guide: "&amp;IFERROR(LEFT('L0 Application'!D11,FIND(CHAR(10)&amp;CHAR(10)&amp;"Purpose:",'L0 Application'!D11)-1),'L0 Application'!D11)</f>
        <v/>
      </c>
      <c r="C138" s="243">
        <f>"Validator's Guide: "&amp;'L0 Application'!E11&amp;CHAR(10)&amp;"Evidence: "&amp;'L0 Application'!F11</f>
        <v/>
      </c>
      <c r="D138" s="203" t="n"/>
      <c r="E138" s="203" t="n"/>
      <c r="F138" s="204" t="n"/>
    </row>
    <row r="139" ht="29" customHeight="1" s="125">
      <c r="A139" s="244">
        <f>'L0 Application'!A12</f>
        <v/>
      </c>
      <c r="B139" s="245">
        <f>"   ↳  "&amp;IF('L0 Application'!H12="Yes","★ ","")&amp;'L0 Application'!C12</f>
        <v/>
      </c>
      <c r="C139" s="204" t="n"/>
      <c r="D139" s="240">
        <f>IF('L0 Application'!M12="Met","✓ Met",IF('L0 Application'!M12="Not Met","✗ Not met",IF('L0 Application'!M12="N/A","— N/A","○ Not tested")))</f>
        <v/>
      </c>
      <c r="E139" s="245" t="n"/>
      <c r="F139" s="245">
        <f>IF('L0 Application'!P12&lt;&gt;"",'L0 Application'!P12,"")</f>
        <v/>
      </c>
    </row>
    <row r="140" ht="29" customHeight="1" s="125">
      <c r="A140" s="244">
        <f>'L0 Application'!A13</f>
        <v/>
      </c>
      <c r="B140" s="245">
        <f>"   ↳  "&amp;IF('L0 Application'!H13="Yes","★ ","")&amp;'L0 Application'!C13</f>
        <v/>
      </c>
      <c r="C140" s="204" t="n"/>
      <c r="D140" s="240">
        <f>IF('L0 Application'!M13="Met","✓ Met",IF('L0 Application'!M13="Not Met","✗ Not met",IF('L0 Application'!M13="N/A","— N/A","○ Not tested")))</f>
        <v/>
      </c>
      <c r="E140" s="245" t="n"/>
      <c r="F140" s="245">
        <f>IF('L0 Application'!P13&lt;&gt;"",'L0 Application'!P13,"")</f>
        <v/>
      </c>
    </row>
    <row r="141" ht="29" customHeight="1" s="125">
      <c r="A141" s="244">
        <f>'L0 Application'!A14</f>
        <v/>
      </c>
      <c r="B141" s="245">
        <f>"   ↳  "&amp;IF('L0 Application'!H14="Yes","★ ","")&amp;'L0 Application'!C14</f>
        <v/>
      </c>
      <c r="C141" s="204" t="n"/>
      <c r="D141" s="240">
        <f>IF('L0 Application'!M14="Met","✓ Met",IF('L0 Application'!M14="Not Met","✗ Not met",IF('L0 Application'!M14="N/A","— N/A","○ Not tested")))</f>
        <v/>
      </c>
      <c r="E141" s="245" t="n"/>
      <c r="F141" s="245">
        <f>IF('L0 Application'!P14&lt;&gt;"",'L0 Application'!P14,"")</f>
        <v/>
      </c>
    </row>
    <row r="142" ht="56" customHeight="1" s="125">
      <c r="A142" s="238">
        <f>'L0 Application'!A15</f>
        <v/>
      </c>
      <c r="B142" s="239">
        <f>'L0 Application'!C15&amp;CHAR(10)&amp;"["&amp;'L0 Application'!B15&amp;" · "&amp;'L0 Application'!G15&amp;"]"</f>
        <v/>
      </c>
      <c r="C142" s="240">
        <f>IF('L0 Application'!I15=0,"Info only",IF('L0 Application'!H15="Yes","★ CRITICAL"&amp;CHAR(10),IF('L0 Application'!H15="★ subs","★ critical sub-items"&amp;CHAR(10),""))&amp;'L0 Application'!J15&amp;" · W"&amp;'L0 Application'!I15)</f>
        <v/>
      </c>
      <c r="D142" s="226">
        <f>IF('L0 Application'!I15=0,"— Not scored",IF('L0 Application'!J15="Tier",IF('L0 Application'!M15="Fully integrated","✓ FULLY INTEGRATED",IF('L0 Application'!M15="Not Met","✗ NOT MET",IF('L0 Application'!M15="Not Tested","○ NOT TESTED","◐ "&amp;UPPER('L0 Application'!M15)))),IF('L0 Application'!M15="Met","✓ MET",IF('L0 Application'!M15="Not Met","✗ NOT MET",IF('L0 Application'!M15="N/A","— N/A",IF('L0 Application'!M15="Counted",IF(AND('L0 Application'!N15&gt;=1,'L0 Application'!S15=0),"✓ MET",IF('L0 Application'!J15="All-or-nothing","✗ NOT MET",IF('L0 Application'!S15=1,"✗ NOT MET (★)","◐ PARTIAL")))&amp;CHAR(10)&amp;"("&amp;'L0 Application'!L15&amp;" of "&amp;'L0 Application'!K15&amp;")","○ NOT TESTED"))))))</f>
        <v/>
      </c>
      <c r="E142" s="241">
        <f>IF('L0 Application'!N15="","—",'L0 Application'!N15)</f>
        <v/>
      </c>
      <c r="F142" s="223">
        <f>'L0 Application'!O15&amp;IF('L0 Application'!P15&lt;&gt;"",CHAR(10)&amp;"Notes: "&amp;'L0 Application'!P15,"")</f>
        <v/>
      </c>
    </row>
    <row r="143" ht="52" customHeight="1" s="125">
      <c r="A143" s="242" t="n"/>
      <c r="B143" s="243">
        <f>"Developer's Guide: "&amp;IFERROR(LEFT('L0 Application'!D15,FIND(CHAR(10)&amp;CHAR(10)&amp;"Purpose:",'L0 Application'!D15)-1),'L0 Application'!D15)</f>
        <v/>
      </c>
      <c r="C143" s="243">
        <f>"Validator's Guide: "&amp;'L0 Application'!E15&amp;CHAR(10)&amp;"Evidence: "&amp;'L0 Application'!F15</f>
        <v/>
      </c>
      <c r="D143" s="203" t="n"/>
      <c r="E143" s="203" t="n"/>
      <c r="F143" s="204" t="n"/>
    </row>
    <row r="144" ht="69" customHeight="1" s="125">
      <c r="A144" s="238">
        <f>'L0 Application'!A16</f>
        <v/>
      </c>
      <c r="B144" s="239">
        <f>'L0 Application'!C16&amp;CHAR(10)&amp;"["&amp;'L0 Application'!B16&amp;" · "&amp;'L0 Application'!G16&amp;"]"</f>
        <v/>
      </c>
      <c r="C144" s="240">
        <f>IF('L0 Application'!I16=0,"Info only",IF('L0 Application'!H16="Yes","★ CRITICAL"&amp;CHAR(10),IF('L0 Application'!H16="★ subs","★ critical sub-items"&amp;CHAR(10),""))&amp;'L0 Application'!J16&amp;" · W"&amp;'L0 Application'!I16)</f>
        <v/>
      </c>
      <c r="D144" s="226">
        <f>IF('L0 Application'!I16=0,"— Not scored",IF('L0 Application'!J16="Tier",IF('L0 Application'!M16="Fully integrated","✓ FULLY INTEGRATED",IF('L0 Application'!M16="Not Met","✗ NOT MET",IF('L0 Application'!M16="Not Tested","○ NOT TESTED","◐ "&amp;UPPER('L0 Application'!M16)))),IF('L0 Application'!M16="Met","✓ MET",IF('L0 Application'!M16="Not Met","✗ NOT MET",IF('L0 Application'!M16="N/A","— N/A",IF('L0 Application'!M16="Counted",IF(AND('L0 Application'!N16&gt;=1,'L0 Application'!S16=0),"✓ MET",IF('L0 Application'!J16="All-or-nothing","✗ NOT MET",IF('L0 Application'!S16=1,"✗ NOT MET (★)","◐ PARTIAL")))&amp;CHAR(10)&amp;"("&amp;'L0 Application'!L16&amp;" of "&amp;'L0 Application'!K16&amp;")","○ NOT TESTED"))))))</f>
        <v/>
      </c>
      <c r="E144" s="241">
        <f>IF('L0 Application'!N16="","—",'L0 Application'!N16)</f>
        <v/>
      </c>
      <c r="F144" s="223">
        <f>'L0 Application'!O16&amp;IF('L0 Application'!P16&lt;&gt;"",CHAR(10)&amp;"Notes: "&amp;'L0 Application'!P16,"")</f>
        <v/>
      </c>
    </row>
    <row r="145" ht="52" customHeight="1" s="125">
      <c r="A145" s="242" t="n"/>
      <c r="B145" s="243">
        <f>"Developer's Guide: "&amp;IFERROR(LEFT('L0 Application'!D16,FIND(CHAR(10)&amp;CHAR(10)&amp;"Purpose:",'L0 Application'!D16)-1),'L0 Application'!D16)</f>
        <v/>
      </c>
      <c r="C145" s="243">
        <f>"Validator's Guide: "&amp;'L0 Application'!E16&amp;CHAR(10)&amp;"Evidence: "&amp;'L0 Application'!F16</f>
        <v/>
      </c>
      <c r="D145" s="203" t="n"/>
      <c r="E145" s="203" t="n"/>
      <c r="F145" s="204" t="n"/>
    </row>
    <row r="146" ht="56" customHeight="1" s="125">
      <c r="A146" s="238">
        <f>'L0 Application'!A17</f>
        <v/>
      </c>
      <c r="B146" s="239">
        <f>'L0 Application'!C17&amp;CHAR(10)&amp;"["&amp;'L0 Application'!B17&amp;" · "&amp;'L0 Application'!G17&amp;"]"</f>
        <v/>
      </c>
      <c r="C146" s="240">
        <f>IF('L0 Application'!I17=0,"Info only",IF('L0 Application'!H17="Yes","★ CRITICAL"&amp;CHAR(10),IF('L0 Application'!H17="★ subs","★ critical sub-items"&amp;CHAR(10),""))&amp;'L0 Application'!J17&amp;" · W"&amp;'L0 Application'!I17)</f>
        <v/>
      </c>
      <c r="D146" s="226">
        <f>IF('L0 Application'!I17=0,"— Not scored",IF('L0 Application'!J17="Tier",IF('L0 Application'!M17="Fully integrated","✓ FULLY INTEGRATED",IF('L0 Application'!M17="Not Met","✗ NOT MET",IF('L0 Application'!M17="Not Tested","○ NOT TESTED","◐ "&amp;UPPER('L0 Application'!M17)))),IF('L0 Application'!M17="Met","✓ MET",IF('L0 Application'!M17="Not Met","✗ NOT MET",IF('L0 Application'!M17="N/A","— N/A",IF('L0 Application'!M17="Counted",IF(AND('L0 Application'!N17&gt;=1,'L0 Application'!S17=0),"✓ MET",IF('L0 Application'!J17="All-or-nothing","✗ NOT MET",IF('L0 Application'!S17=1,"✗ NOT MET (★)","◐ PARTIAL")))&amp;CHAR(10)&amp;"("&amp;'L0 Application'!L17&amp;" of "&amp;'L0 Application'!K17&amp;")","○ NOT TESTED"))))))</f>
        <v/>
      </c>
      <c r="E146" s="241">
        <f>IF('L0 Application'!N17="","—",'L0 Application'!N17)</f>
        <v/>
      </c>
      <c r="F146" s="223">
        <f>'L0 Application'!O17&amp;IF('L0 Application'!P17&lt;&gt;"",CHAR(10)&amp;"Notes: "&amp;'L0 Application'!P17,"")</f>
        <v/>
      </c>
    </row>
    <row r="147" ht="64" customHeight="1" s="125">
      <c r="A147" s="242" t="n"/>
      <c r="B147" s="243">
        <f>"Developer's Guide: "&amp;IFERROR(LEFT('L0 Application'!D17,FIND(CHAR(10)&amp;CHAR(10)&amp;"Purpose:",'L0 Application'!D17)-1),'L0 Application'!D17)</f>
        <v/>
      </c>
      <c r="C147" s="243">
        <f>"Validator's Guide: "&amp;'L0 Application'!E17&amp;CHAR(10)&amp;"Evidence: "&amp;'L0 Application'!F17</f>
        <v/>
      </c>
      <c r="D147" s="203" t="n"/>
      <c r="E147" s="203" t="n"/>
      <c r="F147" s="204" t="n"/>
    </row>
    <row r="148" ht="29" customHeight="1" s="125">
      <c r="A148" s="244">
        <f>'L0 Application'!A18</f>
        <v/>
      </c>
      <c r="B148" s="245">
        <f>"   ↳  "&amp;IF('L0 Application'!H18="Yes","★ ","")&amp;'L0 Application'!C18</f>
        <v/>
      </c>
      <c r="C148" s="204" t="n"/>
      <c r="D148" s="240">
        <f>IF('L0 Application'!M18="Met","✓ Met",IF('L0 Application'!M18="Not Met","✗ Not met",IF('L0 Application'!M18="N/A","— N/A","○ Not tested")))</f>
        <v/>
      </c>
      <c r="E148" s="245" t="n"/>
      <c r="F148" s="245">
        <f>IF('L0 Application'!P18&lt;&gt;"",'L0 Application'!P18,"")</f>
        <v/>
      </c>
    </row>
    <row r="149" ht="29" customHeight="1" s="125">
      <c r="A149" s="244">
        <f>'L0 Application'!A19</f>
        <v/>
      </c>
      <c r="B149" s="245">
        <f>"   ↳  "&amp;IF('L0 Application'!H19="Yes","★ ","")&amp;'L0 Application'!C19</f>
        <v/>
      </c>
      <c r="C149" s="204" t="n"/>
      <c r="D149" s="240">
        <f>IF('L0 Application'!M19="Met","✓ Met",IF('L0 Application'!M19="Not Met","✗ Not met",IF('L0 Application'!M19="N/A","— N/A","○ Not tested")))</f>
        <v/>
      </c>
      <c r="E149" s="245" t="n"/>
      <c r="F149" s="245">
        <f>IF('L0 Application'!P19&lt;&gt;"",'L0 Application'!P19,"")</f>
        <v/>
      </c>
    </row>
    <row r="150" ht="29" customHeight="1" s="125">
      <c r="A150" s="244">
        <f>'L0 Application'!A20</f>
        <v/>
      </c>
      <c r="B150" s="245">
        <f>"   ↳  "&amp;IF('L0 Application'!H20="Yes","★ ","")&amp;'L0 Application'!C20</f>
        <v/>
      </c>
      <c r="C150" s="204" t="n"/>
      <c r="D150" s="240">
        <f>IF('L0 Application'!M20="Met","✓ Met",IF('L0 Application'!M20="Not Met","✗ Not met",IF('L0 Application'!M20="N/A","— N/A","○ Not tested")))</f>
        <v/>
      </c>
      <c r="E150" s="245" t="n"/>
      <c r="F150" s="245">
        <f>IF('L0 Application'!P20&lt;&gt;"",'L0 Application'!P20,"")</f>
        <v/>
      </c>
    </row>
    <row r="151" ht="43" customHeight="1" s="125">
      <c r="A151" s="238">
        <f>'L0 Application'!A21</f>
        <v/>
      </c>
      <c r="B151" s="239">
        <f>'L0 Application'!C21&amp;CHAR(10)&amp;"["&amp;'L0 Application'!B21&amp;" · "&amp;'L0 Application'!G21&amp;"]"</f>
        <v/>
      </c>
      <c r="C151" s="240">
        <f>IF('L0 Application'!I21=0,"Info only",IF('L0 Application'!H21="Yes","★ CRITICAL"&amp;CHAR(10),IF('L0 Application'!H21="★ subs","★ critical sub-items"&amp;CHAR(10),""))&amp;'L0 Application'!J21&amp;" · W"&amp;'L0 Application'!I21)</f>
        <v/>
      </c>
      <c r="D151" s="226">
        <f>IF('L0 Application'!I21=0,"— Not scored",IF('L0 Application'!J21="Tier",IF('L0 Application'!M21="Fully integrated","✓ FULLY INTEGRATED",IF('L0 Application'!M21="Not Met","✗ NOT MET",IF('L0 Application'!M21="Not Tested","○ NOT TESTED","◐ "&amp;UPPER('L0 Application'!M21)))),IF('L0 Application'!M21="Met","✓ MET",IF('L0 Application'!M21="Not Met","✗ NOT MET",IF('L0 Application'!M21="N/A","— N/A",IF('L0 Application'!M21="Counted",IF(AND('L0 Application'!N21&gt;=1,'L0 Application'!S21=0),"✓ MET",IF('L0 Application'!J21="All-or-nothing","✗ NOT MET",IF('L0 Application'!S21=1,"✗ NOT MET (★)","◐ PARTIAL")))&amp;CHAR(10)&amp;"("&amp;'L0 Application'!L21&amp;" of "&amp;'L0 Application'!K21&amp;")","○ NOT TESTED"))))))</f>
        <v/>
      </c>
      <c r="E151" s="241">
        <f>IF('L0 Application'!N21="","—",'L0 Application'!N21)</f>
        <v/>
      </c>
      <c r="F151" s="223">
        <f>'L0 Application'!O21&amp;IF('L0 Application'!P21&lt;&gt;"",CHAR(10)&amp;"Notes: "&amp;'L0 Application'!P21,"")</f>
        <v/>
      </c>
    </row>
    <row r="152" ht="40" customHeight="1" s="125">
      <c r="A152" s="242" t="n"/>
      <c r="B152" s="243">
        <f>"Developer's Guide: "&amp;IFERROR(LEFT('L0 Application'!D21,FIND(CHAR(10)&amp;CHAR(10)&amp;"Purpose:",'L0 Application'!D21)-1),'L0 Application'!D21)</f>
        <v/>
      </c>
      <c r="C152" s="243">
        <f>"Validator's Guide: "&amp;'L0 Application'!E21&amp;CHAR(10)&amp;"Evidence: "&amp;'L0 Application'!F21</f>
        <v/>
      </c>
      <c r="D152" s="203" t="n"/>
      <c r="E152" s="203" t="n"/>
      <c r="F152" s="204" t="n"/>
    </row>
    <row r="153" ht="15" customHeight="1" s="125">
      <c r="A153" s="236" t="inlineStr">
        <is>
          <t>LEVEL 1 — PRODUCT DOCUMENTATION</t>
        </is>
      </c>
      <c r="B153" s="203" t="n"/>
      <c r="C153" s="203" t="n"/>
      <c r="D153" s="203" t="n"/>
      <c r="E153" s="203" t="n"/>
      <c r="F153" s="204" t="n"/>
    </row>
    <row r="154" ht="13.5" customHeight="1" s="125">
      <c r="A154" s="237">
        <f>"Score: "&amp;TEXT('L1 Documentation'!D4,"0.0%")&amp;"  ·  Threshold: "&amp;TEXT('L1 Documentation'!D5,"0%")&amp;"  ·  Critical not met: "&amp;'L1 Documentation'!D6&amp;"  ·  Not tested: "&amp;'L1 Documentation'!F4&amp;" of "&amp;'L1 Documentation'!F7&amp;"  ·  Status: "&amp;'L1 Documentation'!F6</f>
        <v/>
      </c>
      <c r="B154" s="203" t="n"/>
      <c r="C154" s="203" t="n"/>
      <c r="D154" s="203" t="n"/>
      <c r="E154" s="203" t="n"/>
      <c r="F154" s="204" t="n"/>
    </row>
    <row r="155" ht="56" customHeight="1" s="125">
      <c r="A155" s="238">
        <f>'L1 Documentation'!A10</f>
        <v/>
      </c>
      <c r="B155" s="239">
        <f>'L1 Documentation'!C10&amp;CHAR(10)&amp;"["&amp;'L1 Documentation'!B10&amp;" · "&amp;'L1 Documentation'!G10&amp;"]"</f>
        <v/>
      </c>
      <c r="C155" s="240">
        <f>IF('L1 Documentation'!I10=0,"Info only",IF('L1 Documentation'!H10="Yes","★ CRITICAL"&amp;CHAR(10),IF('L1 Documentation'!H10="★ subs","★ critical sub-items"&amp;CHAR(10),""))&amp;'L1 Documentation'!J10&amp;" · W"&amp;'L1 Documentation'!I10)</f>
        <v/>
      </c>
      <c r="D155" s="226">
        <f>IF('L1 Documentation'!I10=0,"— Not scored",IF('L1 Documentation'!J10="Tier",IF('L1 Documentation'!M10="Fully integrated","✓ FULLY INTEGRATED",IF('L1 Documentation'!M10="Not Met","✗ NOT MET",IF('L1 Documentation'!M10="Not Tested","○ NOT TESTED","◐ "&amp;UPPER('L1 Documentation'!M10)))),IF('L1 Documentation'!M10="Met","✓ MET",IF('L1 Documentation'!M10="Not Met","✗ NOT MET",IF('L1 Documentation'!M10="N/A","— N/A",IF('L1 Documentation'!M10="Counted",IF(AND('L1 Documentation'!N10&gt;=1,'L1 Documentation'!S10=0),"✓ MET",IF('L1 Documentation'!J10="All-or-nothing","✗ NOT MET",IF('L1 Documentation'!S10=1,"✗ NOT MET (★)","◐ PARTIAL")))&amp;CHAR(10)&amp;"("&amp;'L1 Documentation'!L10&amp;" of "&amp;'L1 Documentation'!K10&amp;")","○ NOT TESTED"))))))</f>
        <v/>
      </c>
      <c r="E155" s="241">
        <f>IF('L1 Documentation'!N10="","—",'L1 Documentation'!N10)</f>
        <v/>
      </c>
      <c r="F155" s="223">
        <f>'L1 Documentation'!O10&amp;IF('L1 Documentation'!P10&lt;&gt;"",CHAR(10)&amp;"Notes: "&amp;'L1 Documentation'!P10,"")</f>
        <v/>
      </c>
    </row>
    <row r="156" ht="52" customHeight="1" s="125">
      <c r="A156" s="242" t="n"/>
      <c r="B156" s="243">
        <f>"Developer's Guide: "&amp;IFERROR(LEFT('L1 Documentation'!D10,FIND(CHAR(10)&amp;CHAR(10)&amp;"Purpose:",'L1 Documentation'!D10)-1),'L1 Documentation'!D10)</f>
        <v/>
      </c>
      <c r="C156" s="243">
        <f>"Validator's Guide: "&amp;'L1 Documentation'!E10&amp;CHAR(10)&amp;"Evidence: "&amp;'L1 Documentation'!F10</f>
        <v/>
      </c>
      <c r="D156" s="203" t="n"/>
      <c r="E156" s="203" t="n"/>
      <c r="F156" s="204" t="n"/>
    </row>
    <row r="157" ht="121" customHeight="1" s="125">
      <c r="A157" s="238">
        <f>'L1 Documentation'!A11</f>
        <v/>
      </c>
      <c r="B157" s="239">
        <f>'L1 Documentation'!C11&amp;CHAR(10)&amp;"["&amp;'L1 Documentation'!B11&amp;" · "&amp;'L1 Documentation'!G11&amp;"]"</f>
        <v/>
      </c>
      <c r="C157" s="240">
        <f>IF('L1 Documentation'!I11=0,"Info only",IF('L1 Documentation'!H11="Yes","★ CRITICAL"&amp;CHAR(10),IF('L1 Documentation'!H11="★ subs","★ critical sub-items"&amp;CHAR(10),""))&amp;'L1 Documentation'!J11&amp;" · W"&amp;'L1 Documentation'!I11)</f>
        <v/>
      </c>
      <c r="D157" s="226">
        <f>IF('L1 Documentation'!I11=0,"— Not scored",IF('L1 Documentation'!J11="Tier",IF('L1 Documentation'!M11="Fully integrated","✓ FULLY INTEGRATED",IF('L1 Documentation'!M11="Not Met","✗ NOT MET",IF('L1 Documentation'!M11="Not Tested","○ NOT TESTED","◐ "&amp;UPPER('L1 Documentation'!M11)))),IF('L1 Documentation'!M11="Met","✓ MET",IF('L1 Documentation'!M11="Not Met","✗ NOT MET",IF('L1 Documentation'!M11="N/A","— N/A",IF('L1 Documentation'!M11="Counted",IF(AND('L1 Documentation'!N11&gt;=1,'L1 Documentation'!S11=0),"✓ MET",IF('L1 Documentation'!J11="All-or-nothing","✗ NOT MET",IF('L1 Documentation'!S11=1,"✗ NOT MET (★)","◐ PARTIAL")))&amp;CHAR(10)&amp;"("&amp;'L1 Documentation'!L11&amp;" of "&amp;'L1 Documentation'!K11&amp;")","○ NOT TESTED"))))))</f>
        <v/>
      </c>
      <c r="E157" s="241">
        <f>IF('L1 Documentation'!N11="","—",'L1 Documentation'!N11)</f>
        <v/>
      </c>
      <c r="F157" s="223">
        <f>'L1 Documentation'!O11&amp;IF('L1 Documentation'!P11&lt;&gt;"",CHAR(10)&amp;"Notes: "&amp;'L1 Documentation'!P11,"")</f>
        <v/>
      </c>
    </row>
    <row r="158" ht="100" customHeight="1" s="125">
      <c r="A158" s="242" t="n"/>
      <c r="B158" s="243">
        <f>"Developer's Guide: "&amp;IFERROR(LEFT('L1 Documentation'!D11,FIND(CHAR(10)&amp;CHAR(10)&amp;"Purpose:",'L1 Documentation'!D11)-1),'L1 Documentation'!D11)</f>
        <v/>
      </c>
      <c r="C158" s="243">
        <f>"Validator's Guide: "&amp;'L1 Documentation'!E11&amp;CHAR(10)&amp;"Evidence: "&amp;'L1 Documentation'!F11</f>
        <v/>
      </c>
      <c r="D158" s="203" t="n"/>
      <c r="E158" s="203" t="n"/>
      <c r="F158" s="204" t="n"/>
    </row>
    <row r="159" ht="16" customHeight="1" s="125">
      <c r="A159" s="244">
        <f>'L1 Documentation'!A12</f>
        <v/>
      </c>
      <c r="B159" s="245">
        <f>"   ↳  "&amp;IF('L1 Documentation'!H12="Yes","★ ","")&amp;'L1 Documentation'!C12</f>
        <v/>
      </c>
      <c r="C159" s="204" t="n"/>
      <c r="D159" s="240">
        <f>IF('L1 Documentation'!M12="Met","✓ Met",IF('L1 Documentation'!M12="Not Met","✗ Not met",IF('L1 Documentation'!M12="N/A","— N/A","○ Not tested")))</f>
        <v/>
      </c>
      <c r="E159" s="245" t="n"/>
      <c r="F159" s="245">
        <f>IF('L1 Documentation'!P12&lt;&gt;"",'L1 Documentation'!P12,"")</f>
        <v/>
      </c>
    </row>
    <row r="160" ht="16" customHeight="1" s="125">
      <c r="A160" s="244">
        <f>'L1 Documentation'!A13</f>
        <v/>
      </c>
      <c r="B160" s="245">
        <f>"   ↳  "&amp;IF('L1 Documentation'!H13="Yes","★ ","")&amp;'L1 Documentation'!C13</f>
        <v/>
      </c>
      <c r="C160" s="204" t="n"/>
      <c r="D160" s="240">
        <f>IF('L1 Documentation'!M13="Met","✓ Met",IF('L1 Documentation'!M13="Not Met","✗ Not met",IF('L1 Documentation'!M13="N/A","— N/A","○ Not tested")))</f>
        <v/>
      </c>
      <c r="E160" s="245" t="n"/>
      <c r="F160" s="245">
        <f>IF('L1 Documentation'!P13&lt;&gt;"",'L1 Documentation'!P13,"")</f>
        <v/>
      </c>
    </row>
    <row r="161" ht="16" customHeight="1" s="125">
      <c r="A161" s="244">
        <f>'L1 Documentation'!A14</f>
        <v/>
      </c>
      <c r="B161" s="245">
        <f>"   ↳  "&amp;IF('L1 Documentation'!H14="Yes","★ ","")&amp;'L1 Documentation'!C14</f>
        <v/>
      </c>
      <c r="C161" s="204" t="n"/>
      <c r="D161" s="240">
        <f>IF('L1 Documentation'!M14="Met","✓ Met",IF('L1 Documentation'!M14="Not Met","✗ Not met",IF('L1 Documentation'!M14="N/A","— N/A","○ Not tested")))</f>
        <v/>
      </c>
      <c r="E161" s="245" t="n"/>
      <c r="F161" s="245">
        <f>IF('L1 Documentation'!P14&lt;&gt;"",'L1 Documentation'!P14,"")</f>
        <v/>
      </c>
    </row>
    <row r="162" ht="16" customHeight="1" s="125">
      <c r="A162" s="244">
        <f>'L1 Documentation'!A15</f>
        <v/>
      </c>
      <c r="B162" s="245">
        <f>"   ↳  "&amp;IF('L1 Documentation'!H15="Yes","★ ","")&amp;'L1 Documentation'!C15</f>
        <v/>
      </c>
      <c r="C162" s="204" t="n"/>
      <c r="D162" s="240">
        <f>IF('L1 Documentation'!M15="Met","✓ Met",IF('L1 Documentation'!M15="Not Met","✗ Not met",IF('L1 Documentation'!M15="N/A","— N/A","○ Not tested")))</f>
        <v/>
      </c>
      <c r="E162" s="245" t="n"/>
      <c r="F162" s="245">
        <f>IF('L1 Documentation'!P15&lt;&gt;"",'L1 Documentation'!P15,"")</f>
        <v/>
      </c>
    </row>
    <row r="163" ht="16" customHeight="1" s="125">
      <c r="A163" s="244">
        <f>'L1 Documentation'!A16</f>
        <v/>
      </c>
      <c r="B163" s="245">
        <f>"   ↳  "&amp;IF('L1 Documentation'!H16="Yes","★ ","")&amp;'L1 Documentation'!C16</f>
        <v/>
      </c>
      <c r="C163" s="204" t="n"/>
      <c r="D163" s="240">
        <f>IF('L1 Documentation'!M16="Met","✓ Met",IF('L1 Documentation'!M16="Not Met","✗ Not met",IF('L1 Documentation'!M16="N/A","— N/A","○ Not tested")))</f>
        <v/>
      </c>
      <c r="E163" s="245" t="n"/>
      <c r="F163" s="245">
        <f>IF('L1 Documentation'!P16&lt;&gt;"",'L1 Documentation'!P16,"")</f>
        <v/>
      </c>
    </row>
    <row r="164" ht="16" customHeight="1" s="125">
      <c r="A164" s="244">
        <f>'L1 Documentation'!A17</f>
        <v/>
      </c>
      <c r="B164" s="245">
        <f>"   ↳  "&amp;IF('L1 Documentation'!H17="Yes","★ ","")&amp;'L1 Documentation'!C17</f>
        <v/>
      </c>
      <c r="C164" s="204" t="n"/>
      <c r="D164" s="240">
        <f>IF('L1 Documentation'!M17="Met","✓ Met",IF('L1 Documentation'!M17="Not Met","✗ Not met",IF('L1 Documentation'!M17="N/A","— N/A","○ Not tested")))</f>
        <v/>
      </c>
      <c r="E164" s="245" t="n"/>
      <c r="F164" s="245">
        <f>IF('L1 Documentation'!P17&lt;&gt;"",'L1 Documentation'!P17,"")</f>
        <v/>
      </c>
    </row>
    <row r="165" ht="16" customHeight="1" s="125">
      <c r="A165" s="244">
        <f>'L1 Documentation'!A18</f>
        <v/>
      </c>
      <c r="B165" s="245">
        <f>"   ↳  "&amp;IF('L1 Documentation'!H18="Yes","★ ","")&amp;'L1 Documentation'!C18</f>
        <v/>
      </c>
      <c r="C165" s="204" t="n"/>
      <c r="D165" s="240">
        <f>IF('L1 Documentation'!M18="Met","✓ Met",IF('L1 Documentation'!M18="Not Met","✗ Not met",IF('L1 Documentation'!M18="N/A","— N/A","○ Not tested")))</f>
        <v/>
      </c>
      <c r="E165" s="245" t="n"/>
      <c r="F165" s="245">
        <f>IF('L1 Documentation'!P18&lt;&gt;"",'L1 Documentation'!P18,"")</f>
        <v/>
      </c>
    </row>
    <row r="166" ht="69" customHeight="1" s="125">
      <c r="A166" s="238">
        <f>'L1 Documentation'!A19</f>
        <v/>
      </c>
      <c r="B166" s="239">
        <f>'L1 Documentation'!C19&amp;CHAR(10)&amp;"["&amp;'L1 Documentation'!B19&amp;" · "&amp;'L1 Documentation'!G19&amp;"]"</f>
        <v/>
      </c>
      <c r="C166" s="240">
        <f>IF('L1 Documentation'!I19=0,"Info only",IF('L1 Documentation'!H19="Yes","★ CRITICAL"&amp;CHAR(10),IF('L1 Documentation'!H19="★ subs","★ critical sub-items"&amp;CHAR(10),""))&amp;'L1 Documentation'!J19&amp;" · W"&amp;'L1 Documentation'!I19)</f>
        <v/>
      </c>
      <c r="D166" s="226">
        <f>IF('L1 Documentation'!I19=0,"— Not scored",IF('L1 Documentation'!J19="Tier",IF('L1 Documentation'!M19="Fully integrated","✓ FULLY INTEGRATED",IF('L1 Documentation'!M19="Not Met","✗ NOT MET",IF('L1 Documentation'!M19="Not Tested","○ NOT TESTED","◐ "&amp;UPPER('L1 Documentation'!M19)))),IF('L1 Documentation'!M19="Met","✓ MET",IF('L1 Documentation'!M19="Not Met","✗ NOT MET",IF('L1 Documentation'!M19="N/A","— N/A",IF('L1 Documentation'!M19="Counted",IF(AND('L1 Documentation'!N19&gt;=1,'L1 Documentation'!S19=0),"✓ MET",IF('L1 Documentation'!J19="All-or-nothing","✗ NOT MET",IF('L1 Documentation'!S19=1,"✗ NOT MET (★)","◐ PARTIAL")))&amp;CHAR(10)&amp;"("&amp;'L1 Documentation'!L19&amp;" of "&amp;'L1 Documentation'!K19&amp;")","○ NOT TESTED"))))))</f>
        <v/>
      </c>
      <c r="E166" s="241">
        <f>IF('L1 Documentation'!N19="","—",'L1 Documentation'!N19)</f>
        <v/>
      </c>
      <c r="F166" s="223">
        <f>'L1 Documentation'!O19&amp;IF('L1 Documentation'!P19&lt;&gt;"",CHAR(10)&amp;"Notes: "&amp;'L1 Documentation'!P19,"")</f>
        <v/>
      </c>
    </row>
    <row r="167" ht="52" customHeight="1" s="125">
      <c r="A167" s="242" t="n"/>
      <c r="B167" s="243">
        <f>"Developer's Guide: "&amp;IFERROR(LEFT('L1 Documentation'!D19,FIND(CHAR(10)&amp;CHAR(10)&amp;"Purpose:",'L1 Documentation'!D19)-1),'L1 Documentation'!D19)</f>
        <v/>
      </c>
      <c r="C167" s="243">
        <f>"Validator's Guide: "&amp;'L1 Documentation'!E19&amp;CHAR(10)&amp;"Evidence: "&amp;'L1 Documentation'!F19</f>
        <v/>
      </c>
      <c r="D167" s="203" t="n"/>
      <c r="E167" s="203" t="n"/>
      <c r="F167" s="204" t="n"/>
    </row>
    <row r="168" ht="199" customHeight="1" s="125">
      <c r="A168" s="238">
        <f>'L1 Documentation'!A20</f>
        <v/>
      </c>
      <c r="B168" s="239">
        <f>'L1 Documentation'!C20&amp;CHAR(10)&amp;"["&amp;'L1 Documentation'!B20&amp;" · "&amp;'L1 Documentation'!G20&amp;"]"</f>
        <v/>
      </c>
      <c r="C168" s="240">
        <f>IF('L1 Documentation'!I20=0,"Info only",IF('L1 Documentation'!H20="Yes","★ CRITICAL"&amp;CHAR(10),IF('L1 Documentation'!H20="★ subs","★ critical sub-items"&amp;CHAR(10),""))&amp;'L1 Documentation'!J20&amp;" · W"&amp;'L1 Documentation'!I20)</f>
        <v/>
      </c>
      <c r="D168" s="226">
        <f>IF('L1 Documentation'!I20=0,"— Not scored",IF('L1 Documentation'!J20="Tier",IF('L1 Documentation'!M20="Fully integrated","✓ FULLY INTEGRATED",IF('L1 Documentation'!M20="Not Met","✗ NOT MET",IF('L1 Documentation'!M20="Not Tested","○ NOT TESTED","◐ "&amp;UPPER('L1 Documentation'!M20)))),IF('L1 Documentation'!M20="Met","✓ MET",IF('L1 Documentation'!M20="Not Met","✗ NOT MET",IF('L1 Documentation'!M20="N/A","— N/A",IF('L1 Documentation'!M20="Counted",IF(AND('L1 Documentation'!N20&gt;=1,'L1 Documentation'!S20=0),"✓ MET",IF('L1 Documentation'!J20="All-or-nothing","✗ NOT MET",IF('L1 Documentation'!S20=1,"✗ NOT MET (★)","◐ PARTIAL")))&amp;CHAR(10)&amp;"("&amp;'L1 Documentation'!L20&amp;" of "&amp;'L1 Documentation'!K20&amp;")","○ NOT TESTED"))))))</f>
        <v/>
      </c>
      <c r="E168" s="241">
        <f>IF('L1 Documentation'!N20="","—",'L1 Documentation'!N20)</f>
        <v/>
      </c>
      <c r="F168" s="223">
        <f>'L1 Documentation'!O20&amp;IF('L1 Documentation'!P20&lt;&gt;"",CHAR(10)&amp;"Notes: "&amp;'L1 Documentation'!P20,"")</f>
        <v/>
      </c>
    </row>
    <row r="169" ht="304" customHeight="1" s="125">
      <c r="A169" s="242" t="n"/>
      <c r="B169" s="243">
        <f>"Developer's Guide: "&amp;IFERROR(LEFT('L1 Documentation'!D20,FIND(CHAR(10)&amp;CHAR(10)&amp;"Purpose:",'L1 Documentation'!D20)-1),'L1 Documentation'!D20)</f>
        <v/>
      </c>
      <c r="C169" s="243">
        <f>"Validator's Guide: "&amp;'L1 Documentation'!E20&amp;CHAR(10)&amp;"Evidence: "&amp;'L1 Documentation'!F20</f>
        <v/>
      </c>
      <c r="D169" s="203" t="n"/>
      <c r="E169" s="203" t="n"/>
      <c r="F169" s="204" t="n"/>
    </row>
    <row r="170" ht="147" customHeight="1" s="125">
      <c r="A170" s="238">
        <f>'L1 Documentation'!A21</f>
        <v/>
      </c>
      <c r="B170" s="239">
        <f>'L1 Documentation'!C21&amp;CHAR(10)&amp;"["&amp;'L1 Documentation'!B21&amp;" · "&amp;'L1 Documentation'!G21&amp;"]"</f>
        <v/>
      </c>
      <c r="C170" s="240">
        <f>IF('L1 Documentation'!I21=0,"Info only",IF('L1 Documentation'!H21="Yes","★ CRITICAL"&amp;CHAR(10),IF('L1 Documentation'!H21="★ subs","★ critical sub-items"&amp;CHAR(10),""))&amp;'L1 Documentation'!J21&amp;" · W"&amp;'L1 Documentation'!I21)</f>
        <v/>
      </c>
      <c r="D170" s="226">
        <f>IF('L1 Documentation'!I21=0,"— Not scored",IF('L1 Documentation'!J21="Tier",IF('L1 Documentation'!M21="Fully integrated","✓ FULLY INTEGRATED",IF('L1 Documentation'!M21="Not Met","✗ NOT MET",IF('L1 Documentation'!M21="Not Tested","○ NOT TESTED","◐ "&amp;UPPER('L1 Documentation'!M21)))),IF('L1 Documentation'!M21="Met","✓ MET",IF('L1 Documentation'!M21="Not Met","✗ NOT MET",IF('L1 Documentation'!M21="N/A","— N/A",IF('L1 Documentation'!M21="Counted",IF(AND('L1 Documentation'!N21&gt;=1,'L1 Documentation'!S21=0),"✓ MET",IF('L1 Documentation'!J21="All-or-nothing","✗ NOT MET",IF('L1 Documentation'!S21=1,"✗ NOT MET (★)","◐ PARTIAL")))&amp;CHAR(10)&amp;"("&amp;'L1 Documentation'!L21&amp;" of "&amp;'L1 Documentation'!K21&amp;")","○ NOT TESTED"))))))</f>
        <v/>
      </c>
      <c r="E170" s="241">
        <f>IF('L1 Documentation'!N21="","—",'L1 Documentation'!N21)</f>
        <v/>
      </c>
      <c r="F170" s="223">
        <f>'L1 Documentation'!O21&amp;IF('L1 Documentation'!P21&lt;&gt;"",CHAR(10)&amp;"Notes: "&amp;'L1 Documentation'!P21,"")</f>
        <v/>
      </c>
    </row>
    <row r="171" ht="304" customHeight="1" s="125">
      <c r="A171" s="242" t="n"/>
      <c r="B171" s="243">
        <f>"Developer's Guide: "&amp;IFERROR(LEFT('L1 Documentation'!D21,FIND(CHAR(10)&amp;CHAR(10)&amp;"Purpose:",'L1 Documentation'!D21)-1),'L1 Documentation'!D21)</f>
        <v/>
      </c>
      <c r="C171" s="243">
        <f>"Validator's Guide: "&amp;'L1 Documentation'!E21&amp;CHAR(10)&amp;"Evidence: "&amp;'L1 Documentation'!F21</f>
        <v/>
      </c>
      <c r="D171" s="203" t="n"/>
      <c r="E171" s="203" t="n"/>
      <c r="F171" s="204" t="n"/>
    </row>
    <row r="172" ht="29" customHeight="1" s="125">
      <c r="A172" s="244">
        <f>'L1 Documentation'!A22</f>
        <v/>
      </c>
      <c r="B172" s="245">
        <f>"   ↳  "&amp;IF('L1 Documentation'!H22="Yes","★ ","")&amp;'L1 Documentation'!C22</f>
        <v/>
      </c>
      <c r="C172" s="204" t="n"/>
      <c r="D172" s="240">
        <f>IF('L1 Documentation'!M22="Met","✓ Met",IF('L1 Documentation'!M22="Not Met","✗ Not met",IF('L1 Documentation'!M22="N/A","— N/A","○ Not tested")))</f>
        <v/>
      </c>
      <c r="E172" s="245" t="n"/>
      <c r="F172" s="245">
        <f>IF('L1 Documentation'!P22&lt;&gt;"",'L1 Documentation'!P22,"")</f>
        <v/>
      </c>
    </row>
    <row r="173" ht="16" customHeight="1" s="125">
      <c r="A173" s="244">
        <f>'L1 Documentation'!A23</f>
        <v/>
      </c>
      <c r="B173" s="245">
        <f>"   ↳  "&amp;IF('L1 Documentation'!H23="Yes","★ ","")&amp;'L1 Documentation'!C23</f>
        <v/>
      </c>
      <c r="C173" s="204" t="n"/>
      <c r="D173" s="240">
        <f>IF('L1 Documentation'!M23="Met","✓ Met",IF('L1 Documentation'!M23="Not Met","✗ Not met",IF('L1 Documentation'!M23="N/A","— N/A","○ Not tested")))</f>
        <v/>
      </c>
      <c r="E173" s="245" t="n"/>
      <c r="F173" s="245">
        <f>IF('L1 Documentation'!P23&lt;&gt;"",'L1 Documentation'!P23,"")</f>
        <v/>
      </c>
    </row>
    <row r="174" ht="29" customHeight="1" s="125">
      <c r="A174" s="244">
        <f>'L1 Documentation'!A24</f>
        <v/>
      </c>
      <c r="B174" s="245">
        <f>"   ↳  "&amp;IF('L1 Documentation'!H24="Yes","★ ","")&amp;'L1 Documentation'!C24</f>
        <v/>
      </c>
      <c r="C174" s="204" t="n"/>
      <c r="D174" s="240">
        <f>IF('L1 Documentation'!M24="Met","✓ Met",IF('L1 Documentation'!M24="Not Met","✗ Not met",IF('L1 Documentation'!M24="N/A","— N/A","○ Not tested")))</f>
        <v/>
      </c>
      <c r="E174" s="245" t="n"/>
      <c r="F174" s="245">
        <f>IF('L1 Documentation'!P24&lt;&gt;"",'L1 Documentation'!P24,"")</f>
        <v/>
      </c>
    </row>
    <row r="175" ht="42" customHeight="1" s="125">
      <c r="A175" s="244">
        <f>'L1 Documentation'!A25</f>
        <v/>
      </c>
      <c r="B175" s="245">
        <f>"   ↳  "&amp;IF('L1 Documentation'!H25="Yes","★ ","")&amp;'L1 Documentation'!C25</f>
        <v/>
      </c>
      <c r="C175" s="204" t="n"/>
      <c r="D175" s="240">
        <f>IF('L1 Documentation'!M25="Met","✓ Met",IF('L1 Documentation'!M25="Not Met","✗ Not met",IF('L1 Documentation'!M25="N/A","— N/A","○ Not tested")))</f>
        <v/>
      </c>
      <c r="E175" s="245" t="n"/>
      <c r="F175" s="245">
        <f>IF('L1 Documentation'!P25&lt;&gt;"",'L1 Documentation'!P25,"")</f>
        <v/>
      </c>
    </row>
    <row r="176" ht="42" customHeight="1" s="125">
      <c r="A176" s="244">
        <f>'L1 Documentation'!A26</f>
        <v/>
      </c>
      <c r="B176" s="245">
        <f>"   ↳  "&amp;IF('L1 Documentation'!H26="Yes","★ ","")&amp;'L1 Documentation'!C26</f>
        <v/>
      </c>
      <c r="C176" s="204" t="n"/>
      <c r="D176" s="240">
        <f>IF('L1 Documentation'!M26="Met","✓ Met",IF('L1 Documentation'!M26="Not Met","✗ Not met",IF('L1 Documentation'!M26="N/A","— N/A","○ Not tested")))</f>
        <v/>
      </c>
      <c r="E176" s="245" t="n"/>
      <c r="F176" s="245">
        <f>IF('L1 Documentation'!P26&lt;&gt;"",'L1 Documentation'!P26,"")</f>
        <v/>
      </c>
    </row>
    <row r="177" ht="56" customHeight="1" s="125">
      <c r="A177" s="238">
        <f>'L1 Documentation'!A27</f>
        <v/>
      </c>
      <c r="B177" s="239">
        <f>'L1 Documentation'!C27&amp;CHAR(10)&amp;"["&amp;'L1 Documentation'!B27&amp;" · "&amp;'L1 Documentation'!G27&amp;"]"</f>
        <v/>
      </c>
      <c r="C177" s="240">
        <f>IF('L1 Documentation'!I27=0,"Info only",IF('L1 Documentation'!H27="Yes","★ CRITICAL"&amp;CHAR(10),IF('L1 Documentation'!H27="★ subs","★ critical sub-items"&amp;CHAR(10),""))&amp;'L1 Documentation'!J27&amp;" · W"&amp;'L1 Documentation'!I27)</f>
        <v/>
      </c>
      <c r="D177" s="226">
        <f>IF('L1 Documentation'!I27=0,"— Not scored",IF('L1 Documentation'!J27="Tier",IF('L1 Documentation'!M27="Fully integrated","✓ FULLY INTEGRATED",IF('L1 Documentation'!M27="Not Met","✗ NOT MET",IF('L1 Documentation'!M27="Not Tested","○ NOT TESTED","◐ "&amp;UPPER('L1 Documentation'!M27)))),IF('L1 Documentation'!M27="Met","✓ MET",IF('L1 Documentation'!M27="Not Met","✗ NOT MET",IF('L1 Documentation'!M27="N/A","— N/A",IF('L1 Documentation'!M27="Counted",IF(AND('L1 Documentation'!N27&gt;=1,'L1 Documentation'!S27=0),"✓ MET",IF('L1 Documentation'!J27="All-or-nothing","✗ NOT MET",IF('L1 Documentation'!S27=1,"✗ NOT MET (★)","◐ PARTIAL")))&amp;CHAR(10)&amp;"("&amp;'L1 Documentation'!L27&amp;" of "&amp;'L1 Documentation'!K27&amp;")","○ NOT TESTED"))))))</f>
        <v/>
      </c>
      <c r="E177" s="241">
        <f>IF('L1 Documentation'!N27="","—",'L1 Documentation'!N27)</f>
        <v/>
      </c>
      <c r="F177" s="223">
        <f>'L1 Documentation'!O27&amp;IF('L1 Documentation'!P27&lt;&gt;"",CHAR(10)&amp;"Notes: "&amp;'L1 Documentation'!P27,"")</f>
        <v/>
      </c>
    </row>
    <row r="178" ht="40" customHeight="1" s="125">
      <c r="A178" s="242" t="n"/>
      <c r="B178" s="243">
        <f>"Developer's Guide: "&amp;IFERROR(LEFT('L1 Documentation'!D27,FIND(CHAR(10)&amp;CHAR(10)&amp;"Purpose:",'L1 Documentation'!D27)-1),'L1 Documentation'!D27)</f>
        <v/>
      </c>
      <c r="C178" s="243">
        <f>"Validator's Guide: "&amp;'L1 Documentation'!E27&amp;CHAR(10)&amp;"Evidence: "&amp;'L1 Documentation'!F27</f>
        <v/>
      </c>
      <c r="D178" s="203" t="n"/>
      <c r="E178" s="203" t="n"/>
      <c r="F178" s="204" t="n"/>
    </row>
    <row r="179" ht="15" customHeight="1" s="125">
      <c r="A179" s="236" t="inlineStr">
        <is>
          <t>LEVEL 2A — TS0 TERMINOLOGY &amp; REGISTRY VALIDATION (GATE)</t>
        </is>
      </c>
      <c r="B179" s="203" t="n"/>
      <c r="C179" s="203" t="n"/>
      <c r="D179" s="203" t="n"/>
      <c r="E179" s="203" t="n"/>
      <c r="F179" s="204" t="n"/>
    </row>
    <row r="180" ht="13.5" customHeight="1" s="125">
      <c r="A180" s="237">
        <f>"Score: "&amp;TEXT('L2-A TS0-Terminology'!D4,"0.0%")&amp;"  ·  Threshold: "&amp;TEXT('L2-A TS0-Terminology'!D5,"0%")&amp;"  ·  Critical not met: "&amp;'L2-A TS0-Terminology'!D6&amp;"  ·  Not tested: "&amp;'L2-A TS0-Terminology'!F4&amp;" of "&amp;'L2-A TS0-Terminology'!F7&amp;"  ·  Status: "&amp;'L2-A TS0-Terminology'!F6</f>
        <v/>
      </c>
      <c r="B180" s="203" t="n"/>
      <c r="C180" s="203" t="n"/>
      <c r="D180" s="203" t="n"/>
      <c r="E180" s="203" t="n"/>
      <c r="F180" s="204" t="n"/>
    </row>
    <row r="181" ht="56" customHeight="1" s="125">
      <c r="A181" s="238">
        <f>'L2-A TS0-Terminology'!A10</f>
        <v/>
      </c>
      <c r="B181" s="239">
        <f>'L2-A TS0-Terminology'!C10&amp;CHAR(10)&amp;"["&amp;'L2-A TS0-Terminology'!B10&amp;" · "&amp;'L2-A TS0-Terminology'!G10&amp;"]"</f>
        <v/>
      </c>
      <c r="C181" s="240">
        <f>IF('L2-A TS0-Terminology'!I10=0,"Info only",IF('L2-A TS0-Terminology'!H10="Yes","★ CRITICAL"&amp;CHAR(10),IF('L2-A TS0-Terminology'!H10="★ subs","★ critical sub-items"&amp;CHAR(10),""))&amp;'L2-A TS0-Terminology'!J10&amp;" · W"&amp;'L2-A TS0-Terminology'!I10)</f>
        <v/>
      </c>
      <c r="D181" s="226">
        <f>IF('L2-A TS0-Terminology'!I10=0,"— Not scored",IF('L2-A TS0-Terminology'!J10="Tier",IF('L2-A TS0-Terminology'!M10="Fully integrated","✓ FULLY INTEGRATED",IF('L2-A TS0-Terminology'!M10="Not Met","✗ NOT MET",IF('L2-A TS0-Terminology'!M10="Not Tested","○ NOT TESTED","◐ "&amp;UPPER('L2-A TS0-Terminology'!M10)))),IF('L2-A TS0-Terminology'!M10="Met","✓ MET",IF('L2-A TS0-Terminology'!M10="Not Met","✗ NOT MET",IF('L2-A TS0-Terminology'!M10="N/A","— N/A",IF('L2-A TS0-Terminology'!M10="Counted",IF(AND('L2-A TS0-Terminology'!N10&gt;=1,'L2-A TS0-Terminology'!S10=0),"✓ MET",IF('L2-A TS0-Terminology'!J10="All-or-nothing","✗ NOT MET",IF('L2-A TS0-Terminology'!S10=1,"✗ NOT MET (★)","◐ PARTIAL")))&amp;CHAR(10)&amp;"("&amp;'L2-A TS0-Terminology'!L10&amp;" of "&amp;'L2-A TS0-Terminology'!K10&amp;")","○ NOT TESTED"))))))</f>
        <v/>
      </c>
      <c r="E181" s="241">
        <f>IF('L2-A TS0-Terminology'!N10="","—",'L2-A TS0-Terminology'!N10)</f>
        <v/>
      </c>
      <c r="F181" s="223">
        <f>'L2-A TS0-Terminology'!O10&amp;IF('L2-A TS0-Terminology'!P10&lt;&gt;"",CHAR(10)&amp;"Notes: "&amp;'L2-A TS0-Terminology'!P10,"")</f>
        <v/>
      </c>
    </row>
    <row r="182" ht="172" customHeight="1" s="125">
      <c r="A182" s="242" t="n"/>
      <c r="B182" s="243">
        <f>"Developer's Guide: "&amp;IFERROR(LEFT('L2-A TS0-Terminology'!D10,FIND(CHAR(10)&amp;CHAR(10)&amp;"Purpose:",'L2-A TS0-Terminology'!D10)-1),'L2-A TS0-Terminology'!D10)</f>
        <v/>
      </c>
      <c r="C182" s="243">
        <f>"Validator's Guide: "&amp;'L2-A TS0-Terminology'!E10&amp;CHAR(10)&amp;"Evidence: "&amp;'L2-A TS0-Terminology'!F10</f>
        <v/>
      </c>
      <c r="D182" s="203" t="n"/>
      <c r="E182" s="203" t="n"/>
      <c r="F182" s="204" t="n"/>
    </row>
    <row r="183" ht="16" customHeight="1" s="125">
      <c r="A183" s="244">
        <f>'L2-A TS0-Terminology'!A11</f>
        <v/>
      </c>
      <c r="B183" s="245">
        <f>"   ↳  "&amp;IF('L2-A TS0-Terminology'!H11="Yes","★ ","")&amp;'L2-A TS0-Terminology'!C11</f>
        <v/>
      </c>
      <c r="C183" s="204" t="n"/>
      <c r="D183" s="240">
        <f>IF('L2-A TS0-Terminology'!M11="Met","✓ Met",IF('L2-A TS0-Terminology'!M11="Not Met","✗ Not met",IF('L2-A TS0-Terminology'!M11="N/A","— N/A","○ Not tested")))</f>
        <v/>
      </c>
      <c r="E183" s="245" t="n"/>
      <c r="F183" s="245">
        <f>IF('L2-A TS0-Terminology'!P11&lt;&gt;"",'L2-A TS0-Terminology'!P11,"")</f>
        <v/>
      </c>
    </row>
    <row r="184" ht="29" customHeight="1" s="125">
      <c r="A184" s="244">
        <f>'L2-A TS0-Terminology'!A12</f>
        <v/>
      </c>
      <c r="B184" s="245">
        <f>"   ↳  "&amp;IF('L2-A TS0-Terminology'!H12="Yes","★ ","")&amp;'L2-A TS0-Terminology'!C12</f>
        <v/>
      </c>
      <c r="C184" s="204" t="n"/>
      <c r="D184" s="240">
        <f>IF('L2-A TS0-Terminology'!M12="Met","✓ Met",IF('L2-A TS0-Terminology'!M12="Not Met","✗ Not met",IF('L2-A TS0-Terminology'!M12="N/A","— N/A","○ Not tested")))</f>
        <v/>
      </c>
      <c r="E184" s="245" t="n"/>
      <c r="F184" s="245">
        <f>IF('L2-A TS0-Terminology'!P12&lt;&gt;"",'L2-A TS0-Terminology'!P12,"")</f>
        <v/>
      </c>
    </row>
    <row r="185" ht="29" customHeight="1" s="125">
      <c r="A185" s="244">
        <f>'L2-A TS0-Terminology'!A13</f>
        <v/>
      </c>
      <c r="B185" s="245">
        <f>"   ↳  "&amp;IF('L2-A TS0-Terminology'!H13="Yes","★ ","")&amp;'L2-A TS0-Terminology'!C13</f>
        <v/>
      </c>
      <c r="C185" s="204" t="n"/>
      <c r="D185" s="240">
        <f>IF('L2-A TS0-Terminology'!M13="Met","✓ Met",IF('L2-A TS0-Terminology'!M13="Not Met","✗ Not met",IF('L2-A TS0-Terminology'!M13="N/A","— N/A","○ Not tested")))</f>
        <v/>
      </c>
      <c r="E185" s="245" t="n"/>
      <c r="F185" s="245">
        <f>IF('L2-A TS0-Terminology'!P13&lt;&gt;"",'L2-A TS0-Terminology'!P13,"")</f>
        <v/>
      </c>
    </row>
    <row r="186" ht="42" customHeight="1" s="125">
      <c r="A186" s="244">
        <f>'L2-A TS0-Terminology'!A14</f>
        <v/>
      </c>
      <c r="B186" s="245">
        <f>"   ↳  "&amp;IF('L2-A TS0-Terminology'!H14="Yes","★ ","")&amp;'L2-A TS0-Terminology'!C14</f>
        <v/>
      </c>
      <c r="C186" s="204" t="n"/>
      <c r="D186" s="240">
        <f>IF('L2-A TS0-Terminology'!M14="Met","✓ Met",IF('L2-A TS0-Terminology'!M14="Not Met","✗ Not met",IF('L2-A TS0-Terminology'!M14="N/A","— N/A","○ Not tested")))</f>
        <v/>
      </c>
      <c r="E186" s="245" t="n"/>
      <c r="F186" s="245">
        <f>IF('L2-A TS0-Terminology'!P14&lt;&gt;"",'L2-A TS0-Terminology'!P14,"")</f>
        <v/>
      </c>
    </row>
    <row r="187" ht="43" customHeight="1" s="125">
      <c r="A187" s="238">
        <f>'L2-A TS0-Terminology'!A15</f>
        <v/>
      </c>
      <c r="B187" s="239">
        <f>'L2-A TS0-Terminology'!C15&amp;CHAR(10)&amp;"["&amp;'L2-A TS0-Terminology'!B15&amp;" · "&amp;'L2-A TS0-Terminology'!G15&amp;"]"</f>
        <v/>
      </c>
      <c r="C187" s="240">
        <f>IF('L2-A TS0-Terminology'!I15=0,"Info only",IF('L2-A TS0-Terminology'!H15="Yes","★ CRITICAL"&amp;CHAR(10),IF('L2-A TS0-Terminology'!H15="★ subs","★ critical sub-items"&amp;CHAR(10),""))&amp;'L2-A TS0-Terminology'!J15&amp;" · W"&amp;'L2-A TS0-Terminology'!I15)</f>
        <v/>
      </c>
      <c r="D187" s="226">
        <f>IF('L2-A TS0-Terminology'!I15=0,"— Not scored",IF('L2-A TS0-Terminology'!J15="Tier",IF('L2-A TS0-Terminology'!M15="Fully integrated","✓ FULLY INTEGRATED",IF('L2-A TS0-Terminology'!M15="Not Met","✗ NOT MET",IF('L2-A TS0-Terminology'!M15="Not Tested","○ NOT TESTED","◐ "&amp;UPPER('L2-A TS0-Terminology'!M15)))),IF('L2-A TS0-Terminology'!M15="Met","✓ MET",IF('L2-A TS0-Terminology'!M15="Not Met","✗ NOT MET",IF('L2-A TS0-Terminology'!M15="N/A","— N/A",IF('L2-A TS0-Terminology'!M15="Counted",IF(AND('L2-A TS0-Terminology'!N15&gt;=1,'L2-A TS0-Terminology'!S15=0),"✓ MET",IF('L2-A TS0-Terminology'!J15="All-or-nothing","✗ NOT MET",IF('L2-A TS0-Terminology'!S15=1,"✗ NOT MET (★)","◐ PARTIAL")))&amp;CHAR(10)&amp;"("&amp;'L2-A TS0-Terminology'!L15&amp;" of "&amp;'L2-A TS0-Terminology'!K15&amp;")","○ NOT TESTED"))))))</f>
        <v/>
      </c>
      <c r="E187" s="241">
        <f>IF('L2-A TS0-Terminology'!N15="","—",'L2-A TS0-Terminology'!N15)</f>
        <v/>
      </c>
      <c r="F187" s="223">
        <f>'L2-A TS0-Terminology'!O15&amp;IF('L2-A TS0-Terminology'!P15&lt;&gt;"",CHAR(10)&amp;"Notes: "&amp;'L2-A TS0-Terminology'!P15,"")</f>
        <v/>
      </c>
    </row>
    <row r="188" ht="220" customHeight="1" s="125">
      <c r="A188" s="242" t="n"/>
      <c r="B188" s="243">
        <f>"Developer's Guide: "&amp;IFERROR(LEFT('L2-A TS0-Terminology'!D15,FIND(CHAR(10)&amp;CHAR(10)&amp;"Purpose:",'L2-A TS0-Terminology'!D15)-1),'L2-A TS0-Terminology'!D15)</f>
        <v/>
      </c>
      <c r="C188" s="243">
        <f>"Validator's Guide: "&amp;'L2-A TS0-Terminology'!E15&amp;CHAR(10)&amp;"Evidence: "&amp;'L2-A TS0-Terminology'!F15</f>
        <v/>
      </c>
      <c r="D188" s="203" t="n"/>
      <c r="E188" s="203" t="n"/>
      <c r="F188" s="204" t="n"/>
    </row>
    <row r="189" ht="29" customHeight="1" s="125">
      <c r="A189" s="244">
        <f>'L2-A TS0-Terminology'!A16</f>
        <v/>
      </c>
      <c r="B189" s="245">
        <f>"   ↳  "&amp;IF('L2-A TS0-Terminology'!H16="Yes","★ ","")&amp;'L2-A TS0-Terminology'!C16</f>
        <v/>
      </c>
      <c r="C189" s="204" t="n"/>
      <c r="D189" s="240">
        <f>IF('L2-A TS0-Terminology'!M16="Met","✓ Met",IF('L2-A TS0-Terminology'!M16="Not Met","✗ Not met",IF('L2-A TS0-Terminology'!M16="N/A","— N/A","○ Not tested")))</f>
        <v/>
      </c>
      <c r="E189" s="245" t="n"/>
      <c r="F189" s="245">
        <f>IF('L2-A TS0-Terminology'!P16&lt;&gt;"",'L2-A TS0-Terminology'!P16,"")</f>
        <v/>
      </c>
    </row>
    <row r="190" ht="29" customHeight="1" s="125">
      <c r="A190" s="244">
        <f>'L2-A TS0-Terminology'!A17</f>
        <v/>
      </c>
      <c r="B190" s="245">
        <f>"   ↳  "&amp;IF('L2-A TS0-Terminology'!H17="Yes","★ ","")&amp;'L2-A TS0-Terminology'!C17</f>
        <v/>
      </c>
      <c r="C190" s="204" t="n"/>
      <c r="D190" s="240">
        <f>IF('L2-A TS0-Terminology'!M17="Met","✓ Met",IF('L2-A TS0-Terminology'!M17="Not Met","✗ Not met",IF('L2-A TS0-Terminology'!M17="N/A","— N/A","○ Not tested")))</f>
        <v/>
      </c>
      <c r="E190" s="245" t="n"/>
      <c r="F190" s="245">
        <f>IF('L2-A TS0-Terminology'!P17&lt;&gt;"",'L2-A TS0-Terminology'!P17,"")</f>
        <v/>
      </c>
    </row>
    <row r="191" ht="29" customHeight="1" s="125">
      <c r="A191" s="244">
        <f>'L2-A TS0-Terminology'!A18</f>
        <v/>
      </c>
      <c r="B191" s="245">
        <f>"   ↳  "&amp;IF('L2-A TS0-Terminology'!H18="Yes","★ ","")&amp;'L2-A TS0-Terminology'!C18</f>
        <v/>
      </c>
      <c r="C191" s="204" t="n"/>
      <c r="D191" s="240">
        <f>IF('L2-A TS0-Terminology'!M18="Met","✓ Met",IF('L2-A TS0-Terminology'!M18="Not Met","✗ Not met",IF('L2-A TS0-Terminology'!M18="N/A","— N/A","○ Not tested")))</f>
        <v/>
      </c>
      <c r="E191" s="245" t="n"/>
      <c r="F191" s="245">
        <f>IF('L2-A TS0-Terminology'!P18&lt;&gt;"",'L2-A TS0-Terminology'!P18,"")</f>
        <v/>
      </c>
    </row>
    <row r="192" ht="29" customHeight="1" s="125">
      <c r="A192" s="244">
        <f>'L2-A TS0-Terminology'!A19</f>
        <v/>
      </c>
      <c r="B192" s="245">
        <f>"   ↳  "&amp;IF('L2-A TS0-Terminology'!H19="Yes","★ ","")&amp;'L2-A TS0-Terminology'!C19</f>
        <v/>
      </c>
      <c r="C192" s="204" t="n"/>
      <c r="D192" s="240">
        <f>IF('L2-A TS0-Terminology'!M19="Met","✓ Met",IF('L2-A TS0-Terminology'!M19="Not Met","✗ Not met",IF('L2-A TS0-Terminology'!M19="N/A","— N/A","○ Not tested")))</f>
        <v/>
      </c>
      <c r="E192" s="245" t="n"/>
      <c r="F192" s="245">
        <f>IF('L2-A TS0-Terminology'!P19&lt;&gt;"",'L2-A TS0-Terminology'!P19,"")</f>
        <v/>
      </c>
    </row>
    <row r="193" ht="29" customHeight="1" s="125">
      <c r="A193" s="244">
        <f>'L2-A TS0-Terminology'!A20</f>
        <v/>
      </c>
      <c r="B193" s="245">
        <f>"   ↳  "&amp;IF('L2-A TS0-Terminology'!H20="Yes","★ ","")&amp;'L2-A TS0-Terminology'!C20</f>
        <v/>
      </c>
      <c r="C193" s="204" t="n"/>
      <c r="D193" s="240">
        <f>IF('L2-A TS0-Terminology'!M20="Met","✓ Met",IF('L2-A TS0-Terminology'!M20="Not Met","✗ Not met",IF('L2-A TS0-Terminology'!M20="N/A","— N/A","○ Not tested")))</f>
        <v/>
      </c>
      <c r="E193" s="245" t="n"/>
      <c r="F193" s="245">
        <f>IF('L2-A TS0-Terminology'!P20&lt;&gt;"",'L2-A TS0-Terminology'!P20,"")</f>
        <v/>
      </c>
    </row>
    <row r="194" ht="82" customHeight="1" s="125">
      <c r="A194" s="238">
        <f>'L2-A TS0-Terminology'!A21</f>
        <v/>
      </c>
      <c r="B194" s="239">
        <f>'L2-A TS0-Terminology'!C21&amp;CHAR(10)&amp;"["&amp;'L2-A TS0-Terminology'!B21&amp;" · "&amp;'L2-A TS0-Terminology'!G21&amp;"]"</f>
        <v/>
      </c>
      <c r="C194" s="240">
        <f>IF('L2-A TS0-Terminology'!I21=0,"Info only",IF('L2-A TS0-Terminology'!H21="Yes","★ CRITICAL"&amp;CHAR(10),IF('L2-A TS0-Terminology'!H21="★ subs","★ critical sub-items"&amp;CHAR(10),""))&amp;'L2-A TS0-Terminology'!J21&amp;" · W"&amp;'L2-A TS0-Terminology'!I21)</f>
        <v/>
      </c>
      <c r="D194" s="226">
        <f>IF('L2-A TS0-Terminology'!I21=0,"— Not scored",IF('L2-A TS0-Terminology'!J21="Tier",IF('L2-A TS0-Terminology'!M21="Fully integrated","✓ FULLY INTEGRATED",IF('L2-A TS0-Terminology'!M21="Not Met","✗ NOT MET",IF('L2-A TS0-Terminology'!M21="Not Tested","○ NOT TESTED","◐ "&amp;UPPER('L2-A TS0-Terminology'!M21)))),IF('L2-A TS0-Terminology'!M21="Met","✓ MET",IF('L2-A TS0-Terminology'!M21="Not Met","✗ NOT MET",IF('L2-A TS0-Terminology'!M21="N/A","— N/A",IF('L2-A TS0-Terminology'!M21="Counted",IF(AND('L2-A TS0-Terminology'!N21&gt;=1,'L2-A TS0-Terminology'!S21=0),"✓ MET",IF('L2-A TS0-Terminology'!J21="All-or-nothing","✗ NOT MET",IF('L2-A TS0-Terminology'!S21=1,"✗ NOT MET (★)","◐ PARTIAL")))&amp;CHAR(10)&amp;"("&amp;'L2-A TS0-Terminology'!L21&amp;" of "&amp;'L2-A TS0-Terminology'!K21&amp;")","○ NOT TESTED"))))))</f>
        <v/>
      </c>
      <c r="E194" s="241">
        <f>IF('L2-A TS0-Terminology'!N21="","—",'L2-A TS0-Terminology'!N21)</f>
        <v/>
      </c>
      <c r="F194" s="223">
        <f>'L2-A TS0-Terminology'!O21&amp;IF('L2-A TS0-Terminology'!P21&lt;&gt;"",CHAR(10)&amp;"Notes: "&amp;'L2-A TS0-Terminology'!P21,"")</f>
        <v/>
      </c>
    </row>
    <row r="195" ht="124" customHeight="1" s="125">
      <c r="A195" s="242" t="n"/>
      <c r="B195" s="243">
        <f>"Developer's Guide: "&amp;IFERROR(LEFT('L2-A TS0-Terminology'!D21,FIND(CHAR(10)&amp;CHAR(10)&amp;"Purpose:",'L2-A TS0-Terminology'!D21)-1),'L2-A TS0-Terminology'!D21)</f>
        <v/>
      </c>
      <c r="C195" s="243">
        <f>"Validator's Guide: "&amp;'L2-A TS0-Terminology'!E21&amp;CHAR(10)&amp;"Evidence: "&amp;'L2-A TS0-Terminology'!F21</f>
        <v/>
      </c>
      <c r="D195" s="203" t="n"/>
      <c r="E195" s="203" t="n"/>
      <c r="F195" s="204" t="n"/>
    </row>
    <row r="196" ht="43" customHeight="1" s="125">
      <c r="A196" s="238">
        <f>'L2-A TS0-Terminology'!A22</f>
        <v/>
      </c>
      <c r="B196" s="239">
        <f>'L2-A TS0-Terminology'!C22&amp;CHAR(10)&amp;"["&amp;'L2-A TS0-Terminology'!B22&amp;" · "&amp;'L2-A TS0-Terminology'!G22&amp;"]"</f>
        <v/>
      </c>
      <c r="C196" s="240">
        <f>IF('L2-A TS0-Terminology'!I22=0,"Info only",IF('L2-A TS0-Terminology'!H22="Yes","★ CRITICAL"&amp;CHAR(10),IF('L2-A TS0-Terminology'!H22="★ subs","★ critical sub-items"&amp;CHAR(10),""))&amp;'L2-A TS0-Terminology'!J22&amp;" · W"&amp;'L2-A TS0-Terminology'!I22)</f>
        <v/>
      </c>
      <c r="D196" s="226">
        <f>IF('L2-A TS0-Terminology'!I22=0,"— Not scored",IF('L2-A TS0-Terminology'!J22="Tier",IF('L2-A TS0-Terminology'!M22="Fully integrated","✓ FULLY INTEGRATED",IF('L2-A TS0-Terminology'!M22="Not Met","✗ NOT MET",IF('L2-A TS0-Terminology'!M22="Not Tested","○ NOT TESTED","◐ "&amp;UPPER('L2-A TS0-Terminology'!M22)))),IF('L2-A TS0-Terminology'!M22="Met","✓ MET",IF('L2-A TS0-Terminology'!M22="Not Met","✗ NOT MET",IF('L2-A TS0-Terminology'!M22="N/A","— N/A",IF('L2-A TS0-Terminology'!M22="Counted",IF(AND('L2-A TS0-Terminology'!N22&gt;=1,'L2-A TS0-Terminology'!S22=0),"✓ MET",IF('L2-A TS0-Terminology'!J22="All-or-nothing","✗ NOT MET",IF('L2-A TS0-Terminology'!S22=1,"✗ NOT MET (★)","◐ PARTIAL")))&amp;CHAR(10)&amp;"("&amp;'L2-A TS0-Terminology'!L22&amp;" of "&amp;'L2-A TS0-Terminology'!K22&amp;")","○ NOT TESTED"))))))</f>
        <v/>
      </c>
      <c r="E196" s="241">
        <f>IF('L2-A TS0-Terminology'!N22="","—",'L2-A TS0-Terminology'!N22)</f>
        <v/>
      </c>
      <c r="F196" s="223">
        <f>'L2-A TS0-Terminology'!O22&amp;IF('L2-A TS0-Terminology'!P22&lt;&gt;"",CHAR(10)&amp;"Notes: "&amp;'L2-A TS0-Terminology'!P22,"")</f>
        <v/>
      </c>
    </row>
    <row r="197" ht="88" customHeight="1" s="125">
      <c r="A197" s="242" t="n"/>
      <c r="B197" s="243">
        <f>"Developer's Guide: "&amp;IFERROR(LEFT('L2-A TS0-Terminology'!D22,FIND(CHAR(10)&amp;CHAR(10)&amp;"Purpose:",'L2-A TS0-Terminology'!D22)-1),'L2-A TS0-Terminology'!D22)</f>
        <v/>
      </c>
      <c r="C197" s="243">
        <f>"Validator's Guide: "&amp;'L2-A TS0-Terminology'!E22&amp;CHAR(10)&amp;"Evidence: "&amp;'L2-A TS0-Terminology'!F22</f>
        <v/>
      </c>
      <c r="D197" s="203" t="n"/>
      <c r="E197" s="203" t="n"/>
      <c r="F197" s="204" t="n"/>
    </row>
    <row r="198" ht="16" customHeight="1" s="125">
      <c r="A198" s="244">
        <f>'L2-A TS0-Terminology'!A23</f>
        <v/>
      </c>
      <c r="B198" s="245">
        <f>"   ↳  "&amp;IF('L2-A TS0-Terminology'!H23="Yes","★ ","")&amp;'L2-A TS0-Terminology'!C23</f>
        <v/>
      </c>
      <c r="C198" s="204" t="n"/>
      <c r="D198" s="240">
        <f>IF('L2-A TS0-Terminology'!M23="Met","✓ Met",IF('L2-A TS0-Terminology'!M23="Not Met","✗ Not met",IF('L2-A TS0-Terminology'!M23="N/A","— N/A","○ Not tested")))</f>
        <v/>
      </c>
      <c r="E198" s="245" t="n"/>
      <c r="F198" s="245">
        <f>IF('L2-A TS0-Terminology'!P23&lt;&gt;"",'L2-A TS0-Terminology'!P23,"")</f>
        <v/>
      </c>
    </row>
    <row r="199" ht="16" customHeight="1" s="125">
      <c r="A199" s="244">
        <f>'L2-A TS0-Terminology'!A24</f>
        <v/>
      </c>
      <c r="B199" s="245">
        <f>"   ↳  "&amp;IF('L2-A TS0-Terminology'!H24="Yes","★ ","")&amp;'L2-A TS0-Terminology'!C24</f>
        <v/>
      </c>
      <c r="C199" s="204" t="n"/>
      <c r="D199" s="240">
        <f>IF('L2-A TS0-Terminology'!M24="Met","✓ Met",IF('L2-A TS0-Terminology'!M24="Not Met","✗ Not met",IF('L2-A TS0-Terminology'!M24="N/A","— N/A","○ Not tested")))</f>
        <v/>
      </c>
      <c r="E199" s="245" t="n"/>
      <c r="F199" s="245">
        <f>IF('L2-A TS0-Terminology'!P24&lt;&gt;"",'L2-A TS0-Terminology'!P24,"")</f>
        <v/>
      </c>
    </row>
    <row r="200" ht="16" customHeight="1" s="125">
      <c r="A200" s="244">
        <f>'L2-A TS0-Terminology'!A25</f>
        <v/>
      </c>
      <c r="B200" s="245">
        <f>"   ↳  "&amp;IF('L2-A TS0-Terminology'!H25="Yes","★ ","")&amp;'L2-A TS0-Terminology'!C25</f>
        <v/>
      </c>
      <c r="C200" s="204" t="n"/>
      <c r="D200" s="240">
        <f>IF('L2-A TS0-Terminology'!M25="Met","✓ Met",IF('L2-A TS0-Terminology'!M25="Not Met","✗ Not met",IF('L2-A TS0-Terminology'!M25="N/A","— N/A","○ Not tested")))</f>
        <v/>
      </c>
      <c r="E200" s="245" t="n"/>
      <c r="F200" s="245">
        <f>IF('L2-A TS0-Terminology'!P25&lt;&gt;"",'L2-A TS0-Terminology'!P25,"")</f>
        <v/>
      </c>
    </row>
    <row r="201" ht="69" customHeight="1" s="125">
      <c r="A201" s="238">
        <f>'L2-A TS0-Terminology'!A26</f>
        <v/>
      </c>
      <c r="B201" s="239">
        <f>'L2-A TS0-Terminology'!C26&amp;CHAR(10)&amp;"["&amp;'L2-A TS0-Terminology'!B26&amp;" · "&amp;'L2-A TS0-Terminology'!G26&amp;"]"</f>
        <v/>
      </c>
      <c r="C201" s="240">
        <f>IF('L2-A TS0-Terminology'!I26=0,"Info only",IF('L2-A TS0-Terminology'!H26="Yes","★ CRITICAL"&amp;CHAR(10),IF('L2-A TS0-Terminology'!H26="★ subs","★ critical sub-items"&amp;CHAR(10),""))&amp;'L2-A TS0-Terminology'!J26&amp;" · W"&amp;'L2-A TS0-Terminology'!I26)</f>
        <v/>
      </c>
      <c r="D201" s="226">
        <f>IF('L2-A TS0-Terminology'!I26=0,"— Not scored",IF('L2-A TS0-Terminology'!J26="Tier",IF('L2-A TS0-Terminology'!M26="Fully integrated","✓ FULLY INTEGRATED",IF('L2-A TS0-Terminology'!M26="Not Met","✗ NOT MET",IF('L2-A TS0-Terminology'!M26="Not Tested","○ NOT TESTED","◐ "&amp;UPPER('L2-A TS0-Terminology'!M26)))),IF('L2-A TS0-Terminology'!M26="Met","✓ MET",IF('L2-A TS0-Terminology'!M26="Not Met","✗ NOT MET",IF('L2-A TS0-Terminology'!M26="N/A","— N/A",IF('L2-A TS0-Terminology'!M26="Counted",IF(AND('L2-A TS0-Terminology'!N26&gt;=1,'L2-A TS0-Terminology'!S26=0),"✓ MET",IF('L2-A TS0-Terminology'!J26="All-or-nothing","✗ NOT MET",IF('L2-A TS0-Terminology'!S26=1,"✗ NOT MET (★)","◐ PARTIAL")))&amp;CHAR(10)&amp;"("&amp;'L2-A TS0-Terminology'!L26&amp;" of "&amp;'L2-A TS0-Terminology'!K26&amp;")","○ NOT TESTED"))))))</f>
        <v/>
      </c>
      <c r="E201" s="241">
        <f>IF('L2-A TS0-Terminology'!N26="","—",'L2-A TS0-Terminology'!N26)</f>
        <v/>
      </c>
      <c r="F201" s="223">
        <f>'L2-A TS0-Terminology'!O26&amp;IF('L2-A TS0-Terminology'!P26&lt;&gt;"",CHAR(10)&amp;"Notes: "&amp;'L2-A TS0-Terminology'!P26,"")</f>
        <v/>
      </c>
    </row>
    <row r="202" ht="124" customHeight="1" s="125">
      <c r="A202" s="242" t="n"/>
      <c r="B202" s="243">
        <f>"Developer's Guide: "&amp;IFERROR(LEFT('L2-A TS0-Terminology'!D26,FIND(CHAR(10)&amp;CHAR(10)&amp;"Purpose:",'L2-A TS0-Terminology'!D26)-1),'L2-A TS0-Terminology'!D26)</f>
        <v/>
      </c>
      <c r="C202" s="243">
        <f>"Validator's Guide: "&amp;'L2-A TS0-Terminology'!E26&amp;CHAR(10)&amp;"Evidence: "&amp;'L2-A TS0-Terminology'!F26</f>
        <v/>
      </c>
      <c r="D202" s="203" t="n"/>
      <c r="E202" s="203" t="n"/>
      <c r="F202" s="204" t="n"/>
    </row>
    <row r="203" ht="29" customHeight="1" s="125">
      <c r="A203" s="244">
        <f>'L2-A TS0-Terminology'!A27</f>
        <v/>
      </c>
      <c r="B203" s="245">
        <f>"   ↳  "&amp;IF('L2-A TS0-Terminology'!H27="Yes","★ ","")&amp;'L2-A TS0-Terminology'!C27</f>
        <v/>
      </c>
      <c r="C203" s="204" t="n"/>
      <c r="D203" s="240">
        <f>IF('L2-A TS0-Terminology'!M27="Met","✓ Met",IF('L2-A TS0-Terminology'!M27="Not Met","✗ Not met",IF('L2-A TS0-Terminology'!M27="N/A","— N/A","○ Not tested")))</f>
        <v/>
      </c>
      <c r="E203" s="245" t="n"/>
      <c r="F203" s="245">
        <f>IF('L2-A TS0-Terminology'!P27&lt;&gt;"",'L2-A TS0-Terminology'!P27,"")</f>
        <v/>
      </c>
    </row>
    <row r="204" ht="29" customHeight="1" s="125">
      <c r="A204" s="244">
        <f>'L2-A TS0-Terminology'!A28</f>
        <v/>
      </c>
      <c r="B204" s="245">
        <f>"   ↳  "&amp;IF('L2-A TS0-Terminology'!H28="Yes","★ ","")&amp;'L2-A TS0-Terminology'!C28</f>
        <v/>
      </c>
      <c r="C204" s="204" t="n"/>
      <c r="D204" s="240">
        <f>IF('L2-A TS0-Terminology'!M28="Met","✓ Met",IF('L2-A TS0-Terminology'!M28="Not Met","✗ Not met",IF('L2-A TS0-Terminology'!M28="N/A","— N/A","○ Not tested")))</f>
        <v/>
      </c>
      <c r="E204" s="245" t="n"/>
      <c r="F204" s="245">
        <f>IF('L2-A TS0-Terminology'!P28&lt;&gt;"",'L2-A TS0-Terminology'!P28,"")</f>
        <v/>
      </c>
    </row>
    <row r="205" ht="29" customHeight="1" s="125">
      <c r="A205" s="244">
        <f>'L2-A TS0-Terminology'!A29</f>
        <v/>
      </c>
      <c r="B205" s="245">
        <f>"   ↳  "&amp;IF('L2-A TS0-Terminology'!H29="Yes","★ ","")&amp;'L2-A TS0-Terminology'!C29</f>
        <v/>
      </c>
      <c r="C205" s="204" t="n"/>
      <c r="D205" s="240">
        <f>IF('L2-A TS0-Terminology'!M29="Met","✓ Met",IF('L2-A TS0-Terminology'!M29="Not Met","✗ Not met",IF('L2-A TS0-Terminology'!M29="N/A","— N/A","○ Not tested")))</f>
        <v/>
      </c>
      <c r="E205" s="245" t="n"/>
      <c r="F205" s="245">
        <f>IF('L2-A TS0-Terminology'!P29&lt;&gt;"",'L2-A TS0-Terminology'!P29,"")</f>
        <v/>
      </c>
    </row>
    <row r="206" ht="56" customHeight="1" s="125">
      <c r="A206" s="238">
        <f>'L2-A TS0-Terminology'!A30</f>
        <v/>
      </c>
      <c r="B206" s="239">
        <f>'L2-A TS0-Terminology'!C30&amp;CHAR(10)&amp;"["&amp;'L2-A TS0-Terminology'!B30&amp;" · "&amp;'L2-A TS0-Terminology'!G30&amp;"]"</f>
        <v/>
      </c>
      <c r="C206" s="240">
        <f>IF('L2-A TS0-Terminology'!I30=0,"Info only",IF('L2-A TS0-Terminology'!H30="Yes","★ CRITICAL"&amp;CHAR(10),IF('L2-A TS0-Terminology'!H30="★ subs","★ critical sub-items"&amp;CHAR(10),""))&amp;'L2-A TS0-Terminology'!J30&amp;" · W"&amp;'L2-A TS0-Terminology'!I30)</f>
        <v/>
      </c>
      <c r="D206" s="226">
        <f>IF('L2-A TS0-Terminology'!I30=0,"— Not scored",IF('L2-A TS0-Terminology'!J30="Tier",IF('L2-A TS0-Terminology'!M30="Fully integrated","✓ FULLY INTEGRATED",IF('L2-A TS0-Terminology'!M30="Not Met","✗ NOT MET",IF('L2-A TS0-Terminology'!M30="Not Tested","○ NOT TESTED","◐ "&amp;UPPER('L2-A TS0-Terminology'!M30)))),IF('L2-A TS0-Terminology'!M30="Met","✓ MET",IF('L2-A TS0-Terminology'!M30="Not Met","✗ NOT MET",IF('L2-A TS0-Terminology'!M30="N/A","— N/A",IF('L2-A TS0-Terminology'!M30="Counted",IF(AND('L2-A TS0-Terminology'!N30&gt;=1,'L2-A TS0-Terminology'!S30=0),"✓ MET",IF('L2-A TS0-Terminology'!J30="All-or-nothing","✗ NOT MET",IF('L2-A TS0-Terminology'!S30=1,"✗ NOT MET (★)","◐ PARTIAL")))&amp;CHAR(10)&amp;"("&amp;'L2-A TS0-Terminology'!L30&amp;" of "&amp;'L2-A TS0-Terminology'!K30&amp;")","○ NOT TESTED"))))))</f>
        <v/>
      </c>
      <c r="E206" s="241">
        <f>IF('L2-A TS0-Terminology'!N30="","—",'L2-A TS0-Terminology'!N30)</f>
        <v/>
      </c>
      <c r="F206" s="223">
        <f>'L2-A TS0-Terminology'!O30&amp;IF('L2-A TS0-Terminology'!P30&lt;&gt;"",CHAR(10)&amp;"Notes: "&amp;'L2-A TS0-Terminology'!P30,"")</f>
        <v/>
      </c>
    </row>
    <row r="207" ht="160" customHeight="1" s="125">
      <c r="A207" s="242" t="n"/>
      <c r="B207" s="243">
        <f>"Developer's Guide: "&amp;IFERROR(LEFT('L2-A TS0-Terminology'!D30,FIND(CHAR(10)&amp;CHAR(10)&amp;"Purpose:",'L2-A TS0-Terminology'!D30)-1),'L2-A TS0-Terminology'!D30)</f>
        <v/>
      </c>
      <c r="C207" s="243">
        <f>"Validator's Guide: "&amp;'L2-A TS0-Terminology'!E30&amp;CHAR(10)&amp;"Evidence: "&amp;'L2-A TS0-Terminology'!F30</f>
        <v/>
      </c>
      <c r="D207" s="203" t="n"/>
      <c r="E207" s="203" t="n"/>
      <c r="F207" s="204" t="n"/>
    </row>
    <row r="208" ht="29" customHeight="1" s="125">
      <c r="A208" s="244">
        <f>'L2-A TS0-Terminology'!A31</f>
        <v/>
      </c>
      <c r="B208" s="245">
        <f>"   ↳  "&amp;IF('L2-A TS0-Terminology'!H31="Yes","★ ","")&amp;'L2-A TS0-Terminology'!C31</f>
        <v/>
      </c>
      <c r="C208" s="204" t="n"/>
      <c r="D208" s="240">
        <f>IF('L2-A TS0-Terminology'!M31="Met","✓ Met",IF('L2-A TS0-Terminology'!M31="Not Met","✗ Not met",IF('L2-A TS0-Terminology'!M31="N/A","— N/A","○ Not tested")))</f>
        <v/>
      </c>
      <c r="E208" s="245" t="n"/>
      <c r="F208" s="245">
        <f>IF('L2-A TS0-Terminology'!P31&lt;&gt;"",'L2-A TS0-Terminology'!P31,"")</f>
        <v/>
      </c>
    </row>
    <row r="209" ht="42" customHeight="1" s="125">
      <c r="A209" s="244">
        <f>'L2-A TS0-Terminology'!A32</f>
        <v/>
      </c>
      <c r="B209" s="245">
        <f>"   ↳  "&amp;IF('L2-A TS0-Terminology'!H32="Yes","★ ","")&amp;'L2-A TS0-Terminology'!C32</f>
        <v/>
      </c>
      <c r="C209" s="204" t="n"/>
      <c r="D209" s="240">
        <f>IF('L2-A TS0-Terminology'!M32="Met","✓ Met",IF('L2-A TS0-Terminology'!M32="Not Met","✗ Not met",IF('L2-A TS0-Terminology'!M32="N/A","— N/A","○ Not tested")))</f>
        <v/>
      </c>
      <c r="E209" s="245" t="n"/>
      <c r="F209" s="245">
        <f>IF('L2-A TS0-Terminology'!P32&lt;&gt;"",'L2-A TS0-Terminology'!P32,"")</f>
        <v/>
      </c>
    </row>
    <row r="210" ht="29" customHeight="1" s="125">
      <c r="A210" s="244">
        <f>'L2-A TS0-Terminology'!A33</f>
        <v/>
      </c>
      <c r="B210" s="245">
        <f>"   ↳  "&amp;IF('L2-A TS0-Terminology'!H33="Yes","★ ","")&amp;'L2-A TS0-Terminology'!C33</f>
        <v/>
      </c>
      <c r="C210" s="204" t="n"/>
      <c r="D210" s="240">
        <f>IF('L2-A TS0-Terminology'!M33="Met","✓ Met",IF('L2-A TS0-Terminology'!M33="Not Met","✗ Not met",IF('L2-A TS0-Terminology'!M33="N/A","— N/A","○ Not tested")))</f>
        <v/>
      </c>
      <c r="E210" s="245" t="n"/>
      <c r="F210" s="245">
        <f>IF('L2-A TS0-Terminology'!P33&lt;&gt;"",'L2-A TS0-Terminology'!P33,"")</f>
        <v/>
      </c>
    </row>
    <row r="211" ht="82" customHeight="1" s="125">
      <c r="A211" s="238">
        <f>'L2-A TS0-Terminology'!A34</f>
        <v/>
      </c>
      <c r="B211" s="239">
        <f>'L2-A TS0-Terminology'!C34&amp;CHAR(10)&amp;"["&amp;'L2-A TS0-Terminology'!B34&amp;" · "&amp;'L2-A TS0-Terminology'!G34&amp;"]"</f>
        <v/>
      </c>
      <c r="C211" s="240">
        <f>IF('L2-A TS0-Terminology'!I34=0,"Info only",IF('L2-A TS0-Terminology'!H34="Yes","★ CRITICAL"&amp;CHAR(10),IF('L2-A TS0-Terminology'!H34="★ subs","★ critical sub-items"&amp;CHAR(10),""))&amp;'L2-A TS0-Terminology'!J34&amp;" · W"&amp;'L2-A TS0-Terminology'!I34)</f>
        <v/>
      </c>
      <c r="D211" s="226">
        <f>IF('L2-A TS0-Terminology'!I34=0,"— Not scored",IF('L2-A TS0-Terminology'!J34="Tier",IF('L2-A TS0-Terminology'!M34="Fully integrated","✓ FULLY INTEGRATED",IF('L2-A TS0-Terminology'!M34="Not Met","✗ NOT MET",IF('L2-A TS0-Terminology'!M34="Not Tested","○ NOT TESTED","◐ "&amp;UPPER('L2-A TS0-Terminology'!M34)))),IF('L2-A TS0-Terminology'!M34="Met","✓ MET",IF('L2-A TS0-Terminology'!M34="Not Met","✗ NOT MET",IF('L2-A TS0-Terminology'!M34="N/A","— N/A",IF('L2-A TS0-Terminology'!M34="Counted",IF(AND('L2-A TS0-Terminology'!N34&gt;=1,'L2-A TS0-Terminology'!S34=0),"✓ MET",IF('L2-A TS0-Terminology'!J34="All-or-nothing","✗ NOT MET",IF('L2-A TS0-Terminology'!S34=1,"✗ NOT MET (★)","◐ PARTIAL")))&amp;CHAR(10)&amp;"("&amp;'L2-A TS0-Terminology'!L34&amp;" of "&amp;'L2-A TS0-Terminology'!K34&amp;")","○ NOT TESTED"))))))</f>
        <v/>
      </c>
      <c r="E211" s="241">
        <f>IF('L2-A TS0-Terminology'!N34="","—",'L2-A TS0-Terminology'!N34)</f>
        <v/>
      </c>
      <c r="F211" s="223">
        <f>'L2-A TS0-Terminology'!O34&amp;IF('L2-A TS0-Terminology'!P34&lt;&gt;"",CHAR(10)&amp;"Notes: "&amp;'L2-A TS0-Terminology'!P34,"")</f>
        <v/>
      </c>
    </row>
    <row r="212" ht="208" customHeight="1" s="125">
      <c r="A212" s="242" t="n"/>
      <c r="B212" s="243">
        <f>"Developer's Guide: "&amp;IFERROR(LEFT('L2-A TS0-Terminology'!D34,FIND(CHAR(10)&amp;CHAR(10)&amp;"Purpose:",'L2-A TS0-Terminology'!D34)-1),'L2-A TS0-Terminology'!D34)</f>
        <v/>
      </c>
      <c r="C212" s="243">
        <f>"Validator's Guide: "&amp;'L2-A TS0-Terminology'!E34&amp;CHAR(10)&amp;"Evidence: "&amp;'L2-A TS0-Terminology'!F34</f>
        <v/>
      </c>
      <c r="D212" s="203" t="n"/>
      <c r="E212" s="203" t="n"/>
      <c r="F212" s="204" t="n"/>
    </row>
    <row r="213" ht="29" customHeight="1" s="125">
      <c r="A213" s="244">
        <f>'L2-A TS0-Terminology'!A35</f>
        <v/>
      </c>
      <c r="B213" s="245">
        <f>"   ↳  "&amp;IF('L2-A TS0-Terminology'!H35="Yes","★ ","")&amp;'L2-A TS0-Terminology'!C35</f>
        <v/>
      </c>
      <c r="C213" s="204" t="n"/>
      <c r="D213" s="240">
        <f>IF('L2-A TS0-Terminology'!M35="Met","✓ Met",IF('L2-A TS0-Terminology'!M35="Not Met","✗ Not met",IF('L2-A TS0-Terminology'!M35="N/A","— N/A","○ Not tested")))</f>
        <v/>
      </c>
      <c r="E213" s="245" t="n"/>
      <c r="F213" s="245">
        <f>IF('L2-A TS0-Terminology'!P35&lt;&gt;"",'L2-A TS0-Terminology'!P35,"")</f>
        <v/>
      </c>
    </row>
    <row r="214" ht="29" customHeight="1" s="125">
      <c r="A214" s="244">
        <f>'L2-A TS0-Terminology'!A36</f>
        <v/>
      </c>
      <c r="B214" s="245">
        <f>"   ↳  "&amp;IF('L2-A TS0-Terminology'!H36="Yes","★ ","")&amp;'L2-A TS0-Terminology'!C36</f>
        <v/>
      </c>
      <c r="C214" s="204" t="n"/>
      <c r="D214" s="240">
        <f>IF('L2-A TS0-Terminology'!M36="Met","✓ Met",IF('L2-A TS0-Terminology'!M36="Not Met","✗ Not met",IF('L2-A TS0-Terminology'!M36="N/A","— N/A","○ Not tested")))</f>
        <v/>
      </c>
      <c r="E214" s="245" t="n"/>
      <c r="F214" s="245">
        <f>IF('L2-A TS0-Terminology'!P36&lt;&gt;"",'L2-A TS0-Terminology'!P36,"")</f>
        <v/>
      </c>
    </row>
    <row r="215" ht="69" customHeight="1" s="125">
      <c r="A215" s="238">
        <f>'L2-A TS0-Terminology'!A37</f>
        <v/>
      </c>
      <c r="B215" s="239">
        <f>'L2-A TS0-Terminology'!C37&amp;CHAR(10)&amp;"["&amp;'L2-A TS0-Terminology'!B37&amp;" · "&amp;'L2-A TS0-Terminology'!G37&amp;"]"</f>
        <v/>
      </c>
      <c r="C215" s="240">
        <f>IF('L2-A TS0-Terminology'!I37=0,"Info only",IF('L2-A TS0-Terminology'!H37="Yes","★ CRITICAL"&amp;CHAR(10),IF('L2-A TS0-Terminology'!H37="★ subs","★ critical sub-items"&amp;CHAR(10),""))&amp;'L2-A TS0-Terminology'!J37&amp;" · W"&amp;'L2-A TS0-Terminology'!I37)</f>
        <v/>
      </c>
      <c r="D215" s="226">
        <f>IF('L2-A TS0-Terminology'!I37=0,"— Not scored",IF('L2-A TS0-Terminology'!J37="Tier",IF('L2-A TS0-Terminology'!M37="Fully integrated","✓ FULLY INTEGRATED",IF('L2-A TS0-Terminology'!M37="Not Met","✗ NOT MET",IF('L2-A TS0-Terminology'!M37="Not Tested","○ NOT TESTED","◐ "&amp;UPPER('L2-A TS0-Terminology'!M37)))),IF('L2-A TS0-Terminology'!M37="Met","✓ MET",IF('L2-A TS0-Terminology'!M37="Not Met","✗ NOT MET",IF('L2-A TS0-Terminology'!M37="N/A","— N/A",IF('L2-A TS0-Terminology'!M37="Counted",IF(AND('L2-A TS0-Terminology'!N37&gt;=1,'L2-A TS0-Terminology'!S37=0),"✓ MET",IF('L2-A TS0-Terminology'!J37="All-or-nothing","✗ NOT MET",IF('L2-A TS0-Terminology'!S37=1,"✗ NOT MET (★)","◐ PARTIAL")))&amp;CHAR(10)&amp;"("&amp;'L2-A TS0-Terminology'!L37&amp;" of "&amp;'L2-A TS0-Terminology'!K37&amp;")","○ NOT TESTED"))))))</f>
        <v/>
      </c>
      <c r="E215" s="241">
        <f>IF('L2-A TS0-Terminology'!N37="","—",'L2-A TS0-Terminology'!N37)</f>
        <v/>
      </c>
      <c r="F215" s="223">
        <f>'L2-A TS0-Terminology'!O37&amp;IF('L2-A TS0-Terminology'!P37&lt;&gt;"",CHAR(10)&amp;"Notes: "&amp;'L2-A TS0-Terminology'!P37,"")</f>
        <v/>
      </c>
    </row>
    <row r="216" ht="112" customHeight="1" s="125">
      <c r="A216" s="242" t="n"/>
      <c r="B216" s="243">
        <f>"Developer's Guide: "&amp;IFERROR(LEFT('L2-A TS0-Terminology'!D37,FIND(CHAR(10)&amp;CHAR(10)&amp;"Purpose:",'L2-A TS0-Terminology'!D37)-1),'L2-A TS0-Terminology'!D37)</f>
        <v/>
      </c>
      <c r="C216" s="243">
        <f>"Validator's Guide: "&amp;'L2-A TS0-Terminology'!E37&amp;CHAR(10)&amp;"Evidence: "&amp;'L2-A TS0-Terminology'!F37</f>
        <v/>
      </c>
      <c r="D216" s="203" t="n"/>
      <c r="E216" s="203" t="n"/>
      <c r="F216" s="204" t="n"/>
    </row>
    <row r="217" ht="15" customHeight="1" s="125">
      <c r="A217" s="236" t="inlineStr">
        <is>
          <t>LEVEL 2B — TS1 EREFERRAL SUBMISSION</t>
        </is>
      </c>
      <c r="B217" s="203" t="n"/>
      <c r="C217" s="203" t="n"/>
      <c r="D217" s="203" t="n"/>
      <c r="E217" s="203" t="n"/>
      <c r="F217" s="204" t="n"/>
    </row>
    <row r="218" ht="13.5" customHeight="1" s="125">
      <c r="A218" s="237">
        <f>"Score: "&amp;TEXT('L2-B TS1-Submission'!D4,"0.0%")&amp;"  ·  Threshold: "&amp;TEXT('L2-B TS1-Submission'!D5,"0%")&amp;"  ·  Critical not met: "&amp;'L2-B TS1-Submission'!D6&amp;"  ·  Not tested: "&amp;'L2-B TS1-Submission'!F4&amp;" of "&amp;'L2-B TS1-Submission'!F7&amp;"  ·  Status: "&amp;'L2-B TS1-Submission'!F6</f>
        <v/>
      </c>
      <c r="B218" s="203" t="n"/>
      <c r="C218" s="203" t="n"/>
      <c r="D218" s="203" t="n"/>
      <c r="E218" s="203" t="n"/>
      <c r="F218" s="204" t="n"/>
    </row>
    <row r="219" ht="43" customHeight="1" s="125">
      <c r="A219" s="238">
        <f>'L2-B TS1-Submission'!A10</f>
        <v/>
      </c>
      <c r="B219" s="239">
        <f>'L2-B TS1-Submission'!C10&amp;CHAR(10)&amp;"["&amp;'L2-B TS1-Submission'!B10&amp;" · "&amp;'L2-B TS1-Submission'!G10&amp;"]"</f>
        <v/>
      </c>
      <c r="C219" s="240">
        <f>IF('L2-B TS1-Submission'!I10=0,"Info only",IF('L2-B TS1-Submission'!H10="Yes","★ CRITICAL"&amp;CHAR(10),IF('L2-B TS1-Submission'!H10="★ subs","★ critical sub-items"&amp;CHAR(10),""))&amp;'L2-B TS1-Submission'!J10&amp;" · W"&amp;'L2-B TS1-Submission'!I10)</f>
        <v/>
      </c>
      <c r="D219" s="226">
        <f>IF('L2-B TS1-Submission'!I10=0,"— Not scored",IF('L2-B TS1-Submission'!J10="Tier",IF('L2-B TS1-Submission'!M10="Fully integrated","✓ FULLY INTEGRATED",IF('L2-B TS1-Submission'!M10="Not Met","✗ NOT MET",IF('L2-B TS1-Submission'!M10="Not Tested","○ NOT TESTED","◐ "&amp;UPPER('L2-B TS1-Submission'!M10)))),IF('L2-B TS1-Submission'!M10="Met","✓ MET",IF('L2-B TS1-Submission'!M10="Not Met","✗ NOT MET",IF('L2-B TS1-Submission'!M10="N/A","— N/A",IF('L2-B TS1-Submission'!M10="Counted",IF(AND('L2-B TS1-Submission'!N10&gt;=1,'L2-B TS1-Submission'!S10=0),"✓ MET",IF('L2-B TS1-Submission'!J10="All-or-nothing","✗ NOT MET",IF('L2-B TS1-Submission'!S10=1,"✗ NOT MET (★)","◐ PARTIAL")))&amp;CHAR(10)&amp;"("&amp;'L2-B TS1-Submission'!L10&amp;" of "&amp;'L2-B TS1-Submission'!K10&amp;")","○ NOT TESTED"))))))</f>
        <v/>
      </c>
      <c r="E219" s="241">
        <f>IF('L2-B TS1-Submission'!N10="","—",'L2-B TS1-Submission'!N10)</f>
        <v/>
      </c>
      <c r="F219" s="223">
        <f>'L2-B TS1-Submission'!O10&amp;IF('L2-B TS1-Submission'!P10&lt;&gt;"",CHAR(10)&amp;"Notes: "&amp;'L2-B TS1-Submission'!P10,"")</f>
        <v/>
      </c>
    </row>
    <row r="220" ht="184" customHeight="1" s="125">
      <c r="A220" s="242" t="n"/>
      <c r="B220" s="243">
        <f>"Developer's Guide: "&amp;IFERROR(LEFT('L2-B TS1-Submission'!D10,FIND(CHAR(10)&amp;CHAR(10)&amp;"Purpose:",'L2-B TS1-Submission'!D10)-1),'L2-B TS1-Submission'!D10)</f>
        <v/>
      </c>
      <c r="C220" s="243">
        <f>"Validator's Guide: "&amp;'L2-B TS1-Submission'!E10&amp;CHAR(10)&amp;"Evidence: "&amp;'L2-B TS1-Submission'!F10</f>
        <v/>
      </c>
      <c r="D220" s="203" t="n"/>
      <c r="E220" s="203" t="n"/>
      <c r="F220" s="204" t="n"/>
    </row>
    <row r="221" ht="16" customHeight="1" s="125">
      <c r="A221" s="244">
        <f>'L2-B TS1-Submission'!A11</f>
        <v/>
      </c>
      <c r="B221" s="245">
        <f>"   ↳  "&amp;IF('L2-B TS1-Submission'!H11="Yes","★ ","")&amp;'L2-B TS1-Submission'!C11</f>
        <v/>
      </c>
      <c r="C221" s="204" t="n"/>
      <c r="D221" s="240">
        <f>IF('L2-B TS1-Submission'!M11="Met","✓ Met",IF('L2-B TS1-Submission'!M11="Not Met","✗ Not met",IF('L2-B TS1-Submission'!M11="N/A","— N/A","○ Not tested")))</f>
        <v/>
      </c>
      <c r="E221" s="245" t="n"/>
      <c r="F221" s="245">
        <f>IF('L2-B TS1-Submission'!P11&lt;&gt;"",'L2-B TS1-Submission'!P11,"")</f>
        <v/>
      </c>
    </row>
    <row r="222" ht="16" customHeight="1" s="125">
      <c r="A222" s="244">
        <f>'L2-B TS1-Submission'!A12</f>
        <v/>
      </c>
      <c r="B222" s="245">
        <f>"   ↳  "&amp;IF('L2-B TS1-Submission'!H12="Yes","★ ","")&amp;'L2-B TS1-Submission'!C12</f>
        <v/>
      </c>
      <c r="C222" s="204" t="n"/>
      <c r="D222" s="240">
        <f>IF('L2-B TS1-Submission'!M12="Met","✓ Met",IF('L2-B TS1-Submission'!M12="Not Met","✗ Not met",IF('L2-B TS1-Submission'!M12="N/A","— N/A","○ Not tested")))</f>
        <v/>
      </c>
      <c r="E222" s="245" t="n"/>
      <c r="F222" s="245">
        <f>IF('L2-B TS1-Submission'!P12&lt;&gt;"",'L2-B TS1-Submission'!P12,"")</f>
        <v/>
      </c>
    </row>
    <row r="223" ht="16" customHeight="1" s="125">
      <c r="A223" s="244">
        <f>'L2-B TS1-Submission'!A13</f>
        <v/>
      </c>
      <c r="B223" s="245">
        <f>"   ↳  "&amp;IF('L2-B TS1-Submission'!H13="Yes","★ ","")&amp;'L2-B TS1-Submission'!C13</f>
        <v/>
      </c>
      <c r="C223" s="204" t="n"/>
      <c r="D223" s="240">
        <f>IF('L2-B TS1-Submission'!M13="Met","✓ Met",IF('L2-B TS1-Submission'!M13="Not Met","✗ Not met",IF('L2-B TS1-Submission'!M13="N/A","— N/A","○ Not tested")))</f>
        <v/>
      </c>
      <c r="E223" s="245" t="n"/>
      <c r="F223" s="245">
        <f>IF('L2-B TS1-Submission'!P13&lt;&gt;"",'L2-B TS1-Submission'!P13,"")</f>
        <v/>
      </c>
    </row>
    <row r="224" ht="16" customHeight="1" s="125">
      <c r="A224" s="244">
        <f>'L2-B TS1-Submission'!A14</f>
        <v/>
      </c>
      <c r="B224" s="245">
        <f>"   ↳  "&amp;IF('L2-B TS1-Submission'!H14="Yes","★ ","")&amp;'L2-B TS1-Submission'!C14</f>
        <v/>
      </c>
      <c r="C224" s="204" t="n"/>
      <c r="D224" s="240">
        <f>IF('L2-B TS1-Submission'!M14="Met","✓ Met",IF('L2-B TS1-Submission'!M14="Not Met","✗ Not met",IF('L2-B TS1-Submission'!M14="N/A","— N/A","○ Not tested")))</f>
        <v/>
      </c>
      <c r="E224" s="245" t="n"/>
      <c r="F224" s="245">
        <f>IF('L2-B TS1-Submission'!P14&lt;&gt;"",'L2-B TS1-Submission'!P14,"")</f>
        <v/>
      </c>
    </row>
    <row r="225" ht="16" customHeight="1" s="125">
      <c r="A225" s="244">
        <f>'L2-B TS1-Submission'!A15</f>
        <v/>
      </c>
      <c r="B225" s="245">
        <f>"   ↳  "&amp;IF('L2-B TS1-Submission'!H15="Yes","★ ","")&amp;'L2-B TS1-Submission'!C15</f>
        <v/>
      </c>
      <c r="C225" s="204" t="n"/>
      <c r="D225" s="240">
        <f>IF('L2-B TS1-Submission'!M15="Met","✓ Met",IF('L2-B TS1-Submission'!M15="Not Met","✗ Not met",IF('L2-B TS1-Submission'!M15="N/A","— N/A","○ Not tested")))</f>
        <v/>
      </c>
      <c r="E225" s="245" t="n"/>
      <c r="F225" s="245">
        <f>IF('L2-B TS1-Submission'!P15&lt;&gt;"",'L2-B TS1-Submission'!P15,"")</f>
        <v/>
      </c>
    </row>
    <row r="226" ht="43" customHeight="1" s="125">
      <c r="A226" s="238">
        <f>'L2-B TS1-Submission'!A16</f>
        <v/>
      </c>
      <c r="B226" s="239">
        <f>'L2-B TS1-Submission'!C16&amp;CHAR(10)&amp;"["&amp;'L2-B TS1-Submission'!B16&amp;" · "&amp;'L2-B TS1-Submission'!G16&amp;"]"</f>
        <v/>
      </c>
      <c r="C226" s="240">
        <f>IF('L2-B TS1-Submission'!I16=0,"Info only",IF('L2-B TS1-Submission'!H16="Yes","★ CRITICAL"&amp;CHAR(10),IF('L2-B TS1-Submission'!H16="★ subs","★ critical sub-items"&amp;CHAR(10),""))&amp;'L2-B TS1-Submission'!J16&amp;" · W"&amp;'L2-B TS1-Submission'!I16)</f>
        <v/>
      </c>
      <c r="D226" s="226">
        <f>IF('L2-B TS1-Submission'!I16=0,"— Not scored",IF('L2-B TS1-Submission'!J16="Tier",IF('L2-B TS1-Submission'!M16="Fully integrated","✓ FULLY INTEGRATED",IF('L2-B TS1-Submission'!M16="Not Met","✗ NOT MET",IF('L2-B TS1-Submission'!M16="Not Tested","○ NOT TESTED","◐ "&amp;UPPER('L2-B TS1-Submission'!M16)))),IF('L2-B TS1-Submission'!M16="Met","✓ MET",IF('L2-B TS1-Submission'!M16="Not Met","✗ NOT MET",IF('L2-B TS1-Submission'!M16="N/A","— N/A",IF('L2-B TS1-Submission'!M16="Counted",IF(AND('L2-B TS1-Submission'!N16&gt;=1,'L2-B TS1-Submission'!S16=0),"✓ MET",IF('L2-B TS1-Submission'!J16="All-or-nothing","✗ NOT MET",IF('L2-B TS1-Submission'!S16=1,"✗ NOT MET (★)","◐ PARTIAL")))&amp;CHAR(10)&amp;"("&amp;'L2-B TS1-Submission'!L16&amp;" of "&amp;'L2-B TS1-Submission'!K16&amp;")","○ NOT TESTED"))))))</f>
        <v/>
      </c>
      <c r="E226" s="241">
        <f>IF('L2-B TS1-Submission'!N16="","—",'L2-B TS1-Submission'!N16)</f>
        <v/>
      </c>
      <c r="F226" s="223">
        <f>'L2-B TS1-Submission'!O16&amp;IF('L2-B TS1-Submission'!P16&lt;&gt;"",CHAR(10)&amp;"Notes: "&amp;'L2-B TS1-Submission'!P16,"")</f>
        <v/>
      </c>
    </row>
    <row r="227" ht="184" customHeight="1" s="125">
      <c r="A227" s="242" t="n"/>
      <c r="B227" s="243">
        <f>"Developer's Guide: "&amp;IFERROR(LEFT('L2-B TS1-Submission'!D16,FIND(CHAR(10)&amp;CHAR(10)&amp;"Purpose:",'L2-B TS1-Submission'!D16)-1),'L2-B TS1-Submission'!D16)</f>
        <v/>
      </c>
      <c r="C227" s="243">
        <f>"Validator's Guide: "&amp;'L2-B TS1-Submission'!E16&amp;CHAR(10)&amp;"Evidence: "&amp;'L2-B TS1-Submission'!F16</f>
        <v/>
      </c>
      <c r="D227" s="203" t="n"/>
      <c r="E227" s="203" t="n"/>
      <c r="F227" s="204" t="n"/>
    </row>
    <row r="228" ht="16" customHeight="1" s="125">
      <c r="A228" s="244">
        <f>'L2-B TS1-Submission'!A17</f>
        <v/>
      </c>
      <c r="B228" s="245">
        <f>"   ↳  "&amp;IF('L2-B TS1-Submission'!H17="Yes","★ ","")&amp;'L2-B TS1-Submission'!C17</f>
        <v/>
      </c>
      <c r="C228" s="204" t="n"/>
      <c r="D228" s="240">
        <f>IF('L2-B TS1-Submission'!M17="Met","✓ Met",IF('L2-B TS1-Submission'!M17="Not Met","✗ Not met",IF('L2-B TS1-Submission'!M17="N/A","— N/A","○ Not tested")))</f>
        <v/>
      </c>
      <c r="E228" s="245" t="n"/>
      <c r="F228" s="245">
        <f>IF('L2-B TS1-Submission'!P17&lt;&gt;"",'L2-B TS1-Submission'!P17,"")</f>
        <v/>
      </c>
    </row>
    <row r="229" ht="16" customHeight="1" s="125">
      <c r="A229" s="244">
        <f>'L2-B TS1-Submission'!A18</f>
        <v/>
      </c>
      <c r="B229" s="245">
        <f>"   ↳  "&amp;IF('L2-B TS1-Submission'!H18="Yes","★ ","")&amp;'L2-B TS1-Submission'!C18</f>
        <v/>
      </c>
      <c r="C229" s="204" t="n"/>
      <c r="D229" s="240">
        <f>IF('L2-B TS1-Submission'!M18="Met","✓ Met",IF('L2-B TS1-Submission'!M18="Not Met","✗ Not met",IF('L2-B TS1-Submission'!M18="N/A","— N/A","○ Not tested")))</f>
        <v/>
      </c>
      <c r="E229" s="245" t="n"/>
      <c r="F229" s="245">
        <f>IF('L2-B TS1-Submission'!P18&lt;&gt;"",'L2-B TS1-Submission'!P18,"")</f>
        <v/>
      </c>
    </row>
    <row r="230" ht="16" customHeight="1" s="125">
      <c r="A230" s="244">
        <f>'L2-B TS1-Submission'!A19</f>
        <v/>
      </c>
      <c r="B230" s="245">
        <f>"   ↳  "&amp;IF('L2-B TS1-Submission'!H19="Yes","★ ","")&amp;'L2-B TS1-Submission'!C19</f>
        <v/>
      </c>
      <c r="C230" s="204" t="n"/>
      <c r="D230" s="240">
        <f>IF('L2-B TS1-Submission'!M19="Met","✓ Met",IF('L2-B TS1-Submission'!M19="Not Met","✗ Not met",IF('L2-B TS1-Submission'!M19="N/A","— N/A","○ Not tested")))</f>
        <v/>
      </c>
      <c r="E230" s="245" t="n"/>
      <c r="F230" s="245">
        <f>IF('L2-B TS1-Submission'!P19&lt;&gt;"",'L2-B TS1-Submission'!P19,"")</f>
        <v/>
      </c>
    </row>
    <row r="231" ht="56" customHeight="1" s="125">
      <c r="A231" s="238">
        <f>'L2-B TS1-Submission'!A20</f>
        <v/>
      </c>
      <c r="B231" s="239">
        <f>'L2-B TS1-Submission'!C20&amp;CHAR(10)&amp;"["&amp;'L2-B TS1-Submission'!B20&amp;" · "&amp;'L2-B TS1-Submission'!G20&amp;"]"</f>
        <v/>
      </c>
      <c r="C231" s="240">
        <f>IF('L2-B TS1-Submission'!I20=0,"Info only",IF('L2-B TS1-Submission'!H20="Yes","★ CRITICAL"&amp;CHAR(10),IF('L2-B TS1-Submission'!H20="★ subs","★ critical sub-items"&amp;CHAR(10),""))&amp;'L2-B TS1-Submission'!J20&amp;" · W"&amp;'L2-B TS1-Submission'!I20)</f>
        <v/>
      </c>
      <c r="D231" s="226">
        <f>IF('L2-B TS1-Submission'!I20=0,"— Not scored",IF('L2-B TS1-Submission'!J20="Tier",IF('L2-B TS1-Submission'!M20="Fully integrated","✓ FULLY INTEGRATED",IF('L2-B TS1-Submission'!M20="Not Met","✗ NOT MET",IF('L2-B TS1-Submission'!M20="Not Tested","○ NOT TESTED","◐ "&amp;UPPER('L2-B TS1-Submission'!M20)))),IF('L2-B TS1-Submission'!M20="Met","✓ MET",IF('L2-B TS1-Submission'!M20="Not Met","✗ NOT MET",IF('L2-B TS1-Submission'!M20="N/A","— N/A",IF('L2-B TS1-Submission'!M20="Counted",IF(AND('L2-B TS1-Submission'!N20&gt;=1,'L2-B TS1-Submission'!S20=0),"✓ MET",IF('L2-B TS1-Submission'!J20="All-or-nothing","✗ NOT MET",IF('L2-B TS1-Submission'!S20=1,"✗ NOT MET (★)","◐ PARTIAL")))&amp;CHAR(10)&amp;"("&amp;'L2-B TS1-Submission'!L20&amp;" of "&amp;'L2-B TS1-Submission'!K20&amp;")","○ NOT TESTED"))))))</f>
        <v/>
      </c>
      <c r="E231" s="241">
        <f>IF('L2-B TS1-Submission'!N20="","—",'L2-B TS1-Submission'!N20)</f>
        <v/>
      </c>
      <c r="F231" s="223">
        <f>'L2-B TS1-Submission'!O20&amp;IF('L2-B TS1-Submission'!P20&lt;&gt;"",CHAR(10)&amp;"Notes: "&amp;'L2-B TS1-Submission'!P20,"")</f>
        <v/>
      </c>
    </row>
    <row r="232" ht="208" customHeight="1" s="125">
      <c r="A232" s="242" t="n"/>
      <c r="B232" s="243">
        <f>"Developer's Guide: "&amp;IFERROR(LEFT('L2-B TS1-Submission'!D20,FIND(CHAR(10)&amp;CHAR(10)&amp;"Purpose:",'L2-B TS1-Submission'!D20)-1),'L2-B TS1-Submission'!D20)</f>
        <v/>
      </c>
      <c r="C232" s="243">
        <f>"Validator's Guide: "&amp;'L2-B TS1-Submission'!E20&amp;CHAR(10)&amp;"Evidence: "&amp;'L2-B TS1-Submission'!F20</f>
        <v/>
      </c>
      <c r="D232" s="203" t="n"/>
      <c r="E232" s="203" t="n"/>
      <c r="F232" s="204" t="n"/>
    </row>
    <row r="233" ht="16" customHeight="1" s="125">
      <c r="A233" s="244">
        <f>'L2-B TS1-Submission'!A21</f>
        <v/>
      </c>
      <c r="B233" s="245">
        <f>"   ↳  "&amp;IF('L2-B TS1-Submission'!H21="Yes","★ ","")&amp;'L2-B TS1-Submission'!C21</f>
        <v/>
      </c>
      <c r="C233" s="204" t="n"/>
      <c r="D233" s="240">
        <f>IF('L2-B TS1-Submission'!M21="Met","✓ Met",IF('L2-B TS1-Submission'!M21="Not Met","✗ Not met",IF('L2-B TS1-Submission'!M21="N/A","— N/A","○ Not tested")))</f>
        <v/>
      </c>
      <c r="E233" s="245" t="n"/>
      <c r="F233" s="245">
        <f>IF('L2-B TS1-Submission'!P21&lt;&gt;"",'L2-B TS1-Submission'!P21,"")</f>
        <v/>
      </c>
    </row>
    <row r="234" ht="16" customHeight="1" s="125">
      <c r="A234" s="244">
        <f>'L2-B TS1-Submission'!A22</f>
        <v/>
      </c>
      <c r="B234" s="245">
        <f>"   ↳  "&amp;IF('L2-B TS1-Submission'!H22="Yes","★ ","")&amp;'L2-B TS1-Submission'!C22</f>
        <v/>
      </c>
      <c r="C234" s="204" t="n"/>
      <c r="D234" s="240">
        <f>IF('L2-B TS1-Submission'!M22="Met","✓ Met",IF('L2-B TS1-Submission'!M22="Not Met","✗ Not met",IF('L2-B TS1-Submission'!M22="N/A","— N/A","○ Not tested")))</f>
        <v/>
      </c>
      <c r="E234" s="245" t="n"/>
      <c r="F234" s="245">
        <f>IF('L2-B TS1-Submission'!P22&lt;&gt;"",'L2-B TS1-Submission'!P22,"")</f>
        <v/>
      </c>
    </row>
    <row r="235" ht="42" customHeight="1" s="125">
      <c r="A235" s="244">
        <f>'L2-B TS1-Submission'!A23</f>
        <v/>
      </c>
      <c r="B235" s="245">
        <f>"   ↳  "&amp;IF('L2-B TS1-Submission'!H23="Yes","★ ","")&amp;'L2-B TS1-Submission'!C23</f>
        <v/>
      </c>
      <c r="C235" s="204" t="n"/>
      <c r="D235" s="240">
        <f>IF('L2-B TS1-Submission'!M23="Met","✓ Met",IF('L2-B TS1-Submission'!M23="Not Met","✗ Not met",IF('L2-B TS1-Submission'!M23="N/A","— N/A","○ Not tested")))</f>
        <v/>
      </c>
      <c r="E235" s="245" t="n"/>
      <c r="F235" s="245">
        <f>IF('L2-B TS1-Submission'!P23&lt;&gt;"",'L2-B TS1-Submission'!P23,"")</f>
        <v/>
      </c>
    </row>
    <row r="236" ht="29" customHeight="1" s="125">
      <c r="A236" s="244">
        <f>'L2-B TS1-Submission'!A24</f>
        <v/>
      </c>
      <c r="B236" s="245">
        <f>"   ↳  "&amp;IF('L2-B TS1-Submission'!H24="Yes","★ ","")&amp;'L2-B TS1-Submission'!C24</f>
        <v/>
      </c>
      <c r="C236" s="204" t="n"/>
      <c r="D236" s="240">
        <f>IF('L2-B TS1-Submission'!M24="Met","✓ Met",IF('L2-B TS1-Submission'!M24="Not Met","✗ Not met",IF('L2-B TS1-Submission'!M24="N/A","— N/A","○ Not tested")))</f>
        <v/>
      </c>
      <c r="E236" s="245" t="n"/>
      <c r="F236" s="245">
        <f>IF('L2-B TS1-Submission'!P24&lt;&gt;"",'L2-B TS1-Submission'!P24,"")</f>
        <v/>
      </c>
    </row>
    <row r="237" ht="43" customHeight="1" s="125">
      <c r="A237" s="238">
        <f>'L2-B TS1-Submission'!A25</f>
        <v/>
      </c>
      <c r="B237" s="239">
        <f>'L2-B TS1-Submission'!C25&amp;CHAR(10)&amp;"["&amp;'L2-B TS1-Submission'!B25&amp;" · "&amp;'L2-B TS1-Submission'!G25&amp;"]"</f>
        <v/>
      </c>
      <c r="C237" s="240">
        <f>IF('L2-B TS1-Submission'!I25=0,"Info only",IF('L2-B TS1-Submission'!H25="Yes","★ CRITICAL"&amp;CHAR(10),IF('L2-B TS1-Submission'!H25="★ subs","★ critical sub-items"&amp;CHAR(10),""))&amp;'L2-B TS1-Submission'!J25&amp;" · W"&amp;'L2-B TS1-Submission'!I25)</f>
        <v/>
      </c>
      <c r="D237" s="226">
        <f>IF('L2-B TS1-Submission'!I25=0,"— Not scored",IF('L2-B TS1-Submission'!J25="Tier",IF('L2-B TS1-Submission'!M25="Fully integrated","✓ FULLY INTEGRATED",IF('L2-B TS1-Submission'!M25="Not Met","✗ NOT MET",IF('L2-B TS1-Submission'!M25="Not Tested","○ NOT TESTED","◐ "&amp;UPPER('L2-B TS1-Submission'!M25)))),IF('L2-B TS1-Submission'!M25="Met","✓ MET",IF('L2-B TS1-Submission'!M25="Not Met","✗ NOT MET",IF('L2-B TS1-Submission'!M25="N/A","— N/A",IF('L2-B TS1-Submission'!M25="Counted",IF(AND('L2-B TS1-Submission'!N25&gt;=1,'L2-B TS1-Submission'!S25=0),"✓ MET",IF('L2-B TS1-Submission'!J25="All-or-nothing","✗ NOT MET",IF('L2-B TS1-Submission'!S25=1,"✗ NOT MET (★)","◐ PARTIAL")))&amp;CHAR(10)&amp;"("&amp;'L2-B TS1-Submission'!L25&amp;" of "&amp;'L2-B TS1-Submission'!K25&amp;")","○ NOT TESTED"))))))</f>
        <v/>
      </c>
      <c r="E237" s="241">
        <f>IF('L2-B TS1-Submission'!N25="","—",'L2-B TS1-Submission'!N25)</f>
        <v/>
      </c>
      <c r="F237" s="223">
        <f>'L2-B TS1-Submission'!O25&amp;IF('L2-B TS1-Submission'!P25&lt;&gt;"",CHAR(10)&amp;"Notes: "&amp;'L2-B TS1-Submission'!P25,"")</f>
        <v/>
      </c>
    </row>
    <row r="238" ht="232" customHeight="1" s="125">
      <c r="A238" s="242" t="n"/>
      <c r="B238" s="243">
        <f>"Developer's Guide: "&amp;IFERROR(LEFT('L2-B TS1-Submission'!D25,FIND(CHAR(10)&amp;CHAR(10)&amp;"Purpose:",'L2-B TS1-Submission'!D25)-1),'L2-B TS1-Submission'!D25)</f>
        <v/>
      </c>
      <c r="C238" s="243">
        <f>"Validator's Guide: "&amp;'L2-B TS1-Submission'!E25&amp;CHAR(10)&amp;"Evidence: "&amp;'L2-B TS1-Submission'!F25</f>
        <v/>
      </c>
      <c r="D238" s="203" t="n"/>
      <c r="E238" s="203" t="n"/>
      <c r="F238" s="204" t="n"/>
    </row>
    <row r="239" ht="16" customHeight="1" s="125">
      <c r="A239" s="244">
        <f>'L2-B TS1-Submission'!A26</f>
        <v/>
      </c>
      <c r="B239" s="245">
        <f>"   ↳  "&amp;IF('L2-B TS1-Submission'!H26="Yes","★ ","")&amp;'L2-B TS1-Submission'!C26</f>
        <v/>
      </c>
      <c r="C239" s="204" t="n"/>
      <c r="D239" s="240">
        <f>IF('L2-B TS1-Submission'!M26="Met","✓ Met",IF('L2-B TS1-Submission'!M26="Not Met","✗ Not met",IF('L2-B TS1-Submission'!M26="N/A","— N/A","○ Not tested")))</f>
        <v/>
      </c>
      <c r="E239" s="245" t="n"/>
      <c r="F239" s="245">
        <f>IF('L2-B TS1-Submission'!P26&lt;&gt;"",'L2-B TS1-Submission'!P26,"")</f>
        <v/>
      </c>
    </row>
    <row r="240" ht="29" customHeight="1" s="125">
      <c r="A240" s="244">
        <f>'L2-B TS1-Submission'!A27</f>
        <v/>
      </c>
      <c r="B240" s="245">
        <f>"   ↳  "&amp;IF('L2-B TS1-Submission'!H27="Yes","★ ","")&amp;'L2-B TS1-Submission'!C27</f>
        <v/>
      </c>
      <c r="C240" s="204" t="n"/>
      <c r="D240" s="240">
        <f>IF('L2-B TS1-Submission'!M27="Met","✓ Met",IF('L2-B TS1-Submission'!M27="Not Met","✗ Not met",IF('L2-B TS1-Submission'!M27="N/A","— N/A","○ Not tested")))</f>
        <v/>
      </c>
      <c r="E240" s="245" t="n"/>
      <c r="F240" s="245">
        <f>IF('L2-B TS1-Submission'!P27&lt;&gt;"",'L2-B TS1-Submission'!P27,"")</f>
        <v/>
      </c>
    </row>
    <row r="241" ht="29" customHeight="1" s="125">
      <c r="A241" s="244">
        <f>'L2-B TS1-Submission'!A28</f>
        <v/>
      </c>
      <c r="B241" s="245">
        <f>"   ↳  "&amp;IF('L2-B TS1-Submission'!H28="Yes","★ ","")&amp;'L2-B TS1-Submission'!C28</f>
        <v/>
      </c>
      <c r="C241" s="204" t="n"/>
      <c r="D241" s="240">
        <f>IF('L2-B TS1-Submission'!M28="Met","✓ Met",IF('L2-B TS1-Submission'!M28="Not Met","✗ Not met",IF('L2-B TS1-Submission'!M28="N/A","— N/A","○ Not tested")))</f>
        <v/>
      </c>
      <c r="E241" s="245" t="n"/>
      <c r="F241" s="245">
        <f>IF('L2-B TS1-Submission'!P28&lt;&gt;"",'L2-B TS1-Submission'!P28,"")</f>
        <v/>
      </c>
    </row>
    <row r="242" ht="16" customHeight="1" s="125">
      <c r="A242" s="244">
        <f>'L2-B TS1-Submission'!A29</f>
        <v/>
      </c>
      <c r="B242" s="245">
        <f>"   ↳  "&amp;IF('L2-B TS1-Submission'!H29="Yes","★ ","")&amp;'L2-B TS1-Submission'!C29</f>
        <v/>
      </c>
      <c r="C242" s="204" t="n"/>
      <c r="D242" s="240">
        <f>IF('L2-B TS1-Submission'!M29="Met","✓ Met",IF('L2-B TS1-Submission'!M29="Not Met","✗ Not met",IF('L2-B TS1-Submission'!M29="N/A","— N/A","○ Not tested")))</f>
        <v/>
      </c>
      <c r="E242" s="245" t="n"/>
      <c r="F242" s="245">
        <f>IF('L2-B TS1-Submission'!P29&lt;&gt;"",'L2-B TS1-Submission'!P29,"")</f>
        <v/>
      </c>
    </row>
    <row r="243" ht="16" customHeight="1" s="125">
      <c r="A243" s="244">
        <f>'L2-B TS1-Submission'!A30</f>
        <v/>
      </c>
      <c r="B243" s="245">
        <f>"   ↳  "&amp;IF('L2-B TS1-Submission'!H30="Yes","★ ","")&amp;'L2-B TS1-Submission'!C30</f>
        <v/>
      </c>
      <c r="C243" s="204" t="n"/>
      <c r="D243" s="240">
        <f>IF('L2-B TS1-Submission'!M30="Met","✓ Met",IF('L2-B TS1-Submission'!M30="Not Met","✗ Not met",IF('L2-B TS1-Submission'!M30="N/A","— N/A","○ Not tested")))</f>
        <v/>
      </c>
      <c r="E243" s="245" t="n"/>
      <c r="F243" s="245">
        <f>IF('L2-B TS1-Submission'!P30&lt;&gt;"",'L2-B TS1-Submission'!P30,"")</f>
        <v/>
      </c>
    </row>
    <row r="244" ht="16" customHeight="1" s="125">
      <c r="A244" s="244">
        <f>'L2-B TS1-Submission'!A31</f>
        <v/>
      </c>
      <c r="B244" s="245">
        <f>"   ↳  "&amp;IF('L2-B TS1-Submission'!H31="Yes","★ ","")&amp;'L2-B TS1-Submission'!C31</f>
        <v/>
      </c>
      <c r="C244" s="204" t="n"/>
      <c r="D244" s="240">
        <f>IF('L2-B TS1-Submission'!M31="Met","✓ Met",IF('L2-B TS1-Submission'!M31="Not Met","✗ Not met",IF('L2-B TS1-Submission'!M31="N/A","— N/A","○ Not tested")))</f>
        <v/>
      </c>
      <c r="E244" s="245" t="n"/>
      <c r="F244" s="245">
        <f>IF('L2-B TS1-Submission'!P31&lt;&gt;"",'L2-B TS1-Submission'!P31,"")</f>
        <v/>
      </c>
    </row>
    <row r="245" ht="16" customHeight="1" s="125">
      <c r="A245" s="244">
        <f>'L2-B TS1-Submission'!A32</f>
        <v/>
      </c>
      <c r="B245" s="245">
        <f>"   ↳  "&amp;IF('L2-B TS1-Submission'!H32="Yes","★ ","")&amp;'L2-B TS1-Submission'!C32</f>
        <v/>
      </c>
      <c r="C245" s="204" t="n"/>
      <c r="D245" s="240">
        <f>IF('L2-B TS1-Submission'!M32="Met","✓ Met",IF('L2-B TS1-Submission'!M32="Not Met","✗ Not met",IF('L2-B TS1-Submission'!M32="N/A","— N/A","○ Not tested")))</f>
        <v/>
      </c>
      <c r="E245" s="245" t="n"/>
      <c r="F245" s="245">
        <f>IF('L2-B TS1-Submission'!P32&lt;&gt;"",'L2-B TS1-Submission'!P32,"")</f>
        <v/>
      </c>
    </row>
    <row r="246" ht="16" customHeight="1" s="125">
      <c r="A246" s="244">
        <f>'L2-B TS1-Submission'!A33</f>
        <v/>
      </c>
      <c r="B246" s="245">
        <f>"   ↳  "&amp;IF('L2-B TS1-Submission'!H33="Yes","★ ","")&amp;'L2-B TS1-Submission'!C33</f>
        <v/>
      </c>
      <c r="C246" s="204" t="n"/>
      <c r="D246" s="240">
        <f>IF('L2-B TS1-Submission'!M33="Met","✓ Met",IF('L2-B TS1-Submission'!M33="Not Met","✗ Not met",IF('L2-B TS1-Submission'!M33="N/A","— N/A","○ Not tested")))</f>
        <v/>
      </c>
      <c r="E246" s="245" t="n"/>
      <c r="F246" s="245">
        <f>IF('L2-B TS1-Submission'!P33&lt;&gt;"",'L2-B TS1-Submission'!P33,"")</f>
        <v/>
      </c>
    </row>
    <row r="247" ht="29" customHeight="1" s="125">
      <c r="A247" s="244">
        <f>'L2-B TS1-Submission'!A34</f>
        <v/>
      </c>
      <c r="B247" s="245">
        <f>"   ↳  "&amp;IF('L2-B TS1-Submission'!H34="Yes","★ ","")&amp;'L2-B TS1-Submission'!C34</f>
        <v/>
      </c>
      <c r="C247" s="204" t="n"/>
      <c r="D247" s="240">
        <f>IF('L2-B TS1-Submission'!M34="Met","✓ Met",IF('L2-B TS1-Submission'!M34="Not Met","✗ Not met",IF('L2-B TS1-Submission'!M34="N/A","— N/A","○ Not tested")))</f>
        <v/>
      </c>
      <c r="E247" s="245" t="n"/>
      <c r="F247" s="245">
        <f>IF('L2-B TS1-Submission'!P34&lt;&gt;"",'L2-B TS1-Submission'!P34,"")</f>
        <v/>
      </c>
    </row>
    <row r="248" ht="43" customHeight="1" s="125">
      <c r="A248" s="238">
        <f>'L2-B TS1-Submission'!A35</f>
        <v/>
      </c>
      <c r="B248" s="239">
        <f>'L2-B TS1-Submission'!C35&amp;CHAR(10)&amp;"["&amp;'L2-B TS1-Submission'!B35&amp;" · "&amp;'L2-B TS1-Submission'!G35&amp;"]"</f>
        <v/>
      </c>
      <c r="C248" s="240">
        <f>IF('L2-B TS1-Submission'!I35=0,"Info only",IF('L2-B TS1-Submission'!H35="Yes","★ CRITICAL"&amp;CHAR(10),IF('L2-B TS1-Submission'!H35="★ subs","★ critical sub-items"&amp;CHAR(10),""))&amp;'L2-B TS1-Submission'!J35&amp;" · W"&amp;'L2-B TS1-Submission'!I35)</f>
        <v/>
      </c>
      <c r="D248" s="226">
        <f>IF('L2-B TS1-Submission'!I35=0,"— Not scored",IF('L2-B TS1-Submission'!J35="Tier",IF('L2-B TS1-Submission'!M35="Fully integrated","✓ FULLY INTEGRATED",IF('L2-B TS1-Submission'!M35="Not Met","✗ NOT MET",IF('L2-B TS1-Submission'!M35="Not Tested","○ NOT TESTED","◐ "&amp;UPPER('L2-B TS1-Submission'!M35)))),IF('L2-B TS1-Submission'!M35="Met","✓ MET",IF('L2-B TS1-Submission'!M35="Not Met","✗ NOT MET",IF('L2-B TS1-Submission'!M35="N/A","— N/A",IF('L2-B TS1-Submission'!M35="Counted",IF(AND('L2-B TS1-Submission'!N35&gt;=1,'L2-B TS1-Submission'!S35=0),"✓ MET",IF('L2-B TS1-Submission'!J35="All-or-nothing","✗ NOT MET",IF('L2-B TS1-Submission'!S35=1,"✗ NOT MET (★)","◐ PARTIAL")))&amp;CHAR(10)&amp;"("&amp;'L2-B TS1-Submission'!L35&amp;" of "&amp;'L2-B TS1-Submission'!K35&amp;")","○ NOT TESTED"))))))</f>
        <v/>
      </c>
      <c r="E248" s="241">
        <f>IF('L2-B TS1-Submission'!N35="","—",'L2-B TS1-Submission'!N35)</f>
        <v/>
      </c>
      <c r="F248" s="223">
        <f>'L2-B TS1-Submission'!O35&amp;IF('L2-B TS1-Submission'!P35&lt;&gt;"",CHAR(10)&amp;"Notes: "&amp;'L2-B TS1-Submission'!P35,"")</f>
        <v/>
      </c>
    </row>
    <row r="249" ht="148" customHeight="1" s="125">
      <c r="A249" s="242" t="n"/>
      <c r="B249" s="243">
        <f>"Developer's Guide: "&amp;IFERROR(LEFT('L2-B TS1-Submission'!D35,FIND(CHAR(10)&amp;CHAR(10)&amp;"Purpose:",'L2-B TS1-Submission'!D35)-1),'L2-B TS1-Submission'!D35)</f>
        <v/>
      </c>
      <c r="C249" s="243">
        <f>"Validator's Guide: "&amp;'L2-B TS1-Submission'!E35&amp;CHAR(10)&amp;"Evidence: "&amp;'L2-B TS1-Submission'!F35</f>
        <v/>
      </c>
      <c r="D249" s="203" t="n"/>
      <c r="E249" s="203" t="n"/>
      <c r="F249" s="204" t="n"/>
    </row>
    <row r="250" ht="43" customHeight="1" s="125">
      <c r="A250" s="238">
        <f>'L2-B TS1-Submission'!A36</f>
        <v/>
      </c>
      <c r="B250" s="239">
        <f>'L2-B TS1-Submission'!C36&amp;CHAR(10)&amp;"["&amp;'L2-B TS1-Submission'!B36&amp;" · "&amp;'L2-B TS1-Submission'!G36&amp;"]"</f>
        <v/>
      </c>
      <c r="C250" s="240">
        <f>IF('L2-B TS1-Submission'!I36=0,"Info only",IF('L2-B TS1-Submission'!H36="Yes","★ CRITICAL"&amp;CHAR(10),IF('L2-B TS1-Submission'!H36="★ subs","★ critical sub-items"&amp;CHAR(10),""))&amp;'L2-B TS1-Submission'!J36&amp;" · W"&amp;'L2-B TS1-Submission'!I36)</f>
        <v/>
      </c>
      <c r="D250" s="226">
        <f>IF('L2-B TS1-Submission'!I36=0,"— Not scored",IF('L2-B TS1-Submission'!J36="Tier",IF('L2-B TS1-Submission'!M36="Fully integrated","✓ FULLY INTEGRATED",IF('L2-B TS1-Submission'!M36="Not Met","✗ NOT MET",IF('L2-B TS1-Submission'!M36="Not Tested","○ NOT TESTED","◐ "&amp;UPPER('L2-B TS1-Submission'!M36)))),IF('L2-B TS1-Submission'!M36="Met","✓ MET",IF('L2-B TS1-Submission'!M36="Not Met","✗ NOT MET",IF('L2-B TS1-Submission'!M36="N/A","— N/A",IF('L2-B TS1-Submission'!M36="Counted",IF(AND('L2-B TS1-Submission'!N36&gt;=1,'L2-B TS1-Submission'!S36=0),"✓ MET",IF('L2-B TS1-Submission'!J36="All-or-nothing","✗ NOT MET",IF('L2-B TS1-Submission'!S36=1,"✗ NOT MET (★)","◐ PARTIAL")))&amp;CHAR(10)&amp;"("&amp;'L2-B TS1-Submission'!L36&amp;" of "&amp;'L2-B TS1-Submission'!K36&amp;")","○ NOT TESTED"))))))</f>
        <v/>
      </c>
      <c r="E250" s="241">
        <f>IF('L2-B TS1-Submission'!N36="","—",'L2-B TS1-Submission'!N36)</f>
        <v/>
      </c>
      <c r="F250" s="223">
        <f>'L2-B TS1-Submission'!O36&amp;IF('L2-B TS1-Submission'!P36&lt;&gt;"",CHAR(10)&amp;"Notes: "&amp;'L2-B TS1-Submission'!P36,"")</f>
        <v/>
      </c>
    </row>
    <row r="251" ht="220" customHeight="1" s="125">
      <c r="A251" s="242" t="n"/>
      <c r="B251" s="243">
        <f>"Developer's Guide: "&amp;IFERROR(LEFT('L2-B TS1-Submission'!D36,FIND(CHAR(10)&amp;CHAR(10)&amp;"Purpose:",'L2-B TS1-Submission'!D36)-1),'L2-B TS1-Submission'!D36)</f>
        <v/>
      </c>
      <c r="C251" s="243">
        <f>"Validator's Guide: "&amp;'L2-B TS1-Submission'!E36&amp;CHAR(10)&amp;"Evidence: "&amp;'L2-B TS1-Submission'!F36</f>
        <v/>
      </c>
      <c r="D251" s="203" t="n"/>
      <c r="E251" s="203" t="n"/>
      <c r="F251" s="204" t="n"/>
    </row>
    <row r="252" ht="16" customHeight="1" s="125">
      <c r="A252" s="244">
        <f>'L2-B TS1-Submission'!A37</f>
        <v/>
      </c>
      <c r="B252" s="245">
        <f>"   ↳  "&amp;IF('L2-B TS1-Submission'!H37="Yes","★ ","")&amp;'L2-B TS1-Submission'!C37</f>
        <v/>
      </c>
      <c r="C252" s="204" t="n"/>
      <c r="D252" s="240">
        <f>IF('L2-B TS1-Submission'!M37="Met","✓ Met",IF('L2-B TS1-Submission'!M37="Not Met","✗ Not met",IF('L2-B TS1-Submission'!M37="N/A","— N/A","○ Not tested")))</f>
        <v/>
      </c>
      <c r="E252" s="245" t="n"/>
      <c r="F252" s="245">
        <f>IF('L2-B TS1-Submission'!P37&lt;&gt;"",'L2-B TS1-Submission'!P37,"")</f>
        <v/>
      </c>
    </row>
    <row r="253" ht="29" customHeight="1" s="125">
      <c r="A253" s="244">
        <f>'L2-B TS1-Submission'!A38</f>
        <v/>
      </c>
      <c r="B253" s="245">
        <f>"   ↳  "&amp;IF('L2-B TS1-Submission'!H38="Yes","★ ","")&amp;'L2-B TS1-Submission'!C38</f>
        <v/>
      </c>
      <c r="C253" s="204" t="n"/>
      <c r="D253" s="240">
        <f>IF('L2-B TS1-Submission'!M38="Met","✓ Met",IF('L2-B TS1-Submission'!M38="Not Met","✗ Not met",IF('L2-B TS1-Submission'!M38="N/A","— N/A","○ Not tested")))</f>
        <v/>
      </c>
      <c r="E253" s="245" t="n"/>
      <c r="F253" s="245">
        <f>IF('L2-B TS1-Submission'!P38&lt;&gt;"",'L2-B TS1-Submission'!P38,"")</f>
        <v/>
      </c>
    </row>
    <row r="254" ht="29" customHeight="1" s="125">
      <c r="A254" s="244">
        <f>'L2-B TS1-Submission'!A39</f>
        <v/>
      </c>
      <c r="B254" s="245">
        <f>"   ↳  "&amp;IF('L2-B TS1-Submission'!H39="Yes","★ ","")&amp;'L2-B TS1-Submission'!C39</f>
        <v/>
      </c>
      <c r="C254" s="204" t="n"/>
      <c r="D254" s="240">
        <f>IF('L2-B TS1-Submission'!M39="Met","✓ Met",IF('L2-B TS1-Submission'!M39="Not Met","✗ Not met",IF('L2-B TS1-Submission'!M39="N/A","— N/A","○ Not tested")))</f>
        <v/>
      </c>
      <c r="E254" s="245" t="n"/>
      <c r="F254" s="245">
        <f>IF('L2-B TS1-Submission'!P39&lt;&gt;"",'L2-B TS1-Submission'!P39,"")</f>
        <v/>
      </c>
    </row>
    <row r="255" ht="16" customHeight="1" s="125">
      <c r="A255" s="244">
        <f>'L2-B TS1-Submission'!A40</f>
        <v/>
      </c>
      <c r="B255" s="245">
        <f>"   ↳  "&amp;IF('L2-B TS1-Submission'!H40="Yes","★ ","")&amp;'L2-B TS1-Submission'!C40</f>
        <v/>
      </c>
      <c r="C255" s="204" t="n"/>
      <c r="D255" s="240">
        <f>IF('L2-B TS1-Submission'!M40="Met","✓ Met",IF('L2-B TS1-Submission'!M40="Not Met","✗ Not met",IF('L2-B TS1-Submission'!M40="N/A","— N/A","○ Not tested")))</f>
        <v/>
      </c>
      <c r="E255" s="245" t="n"/>
      <c r="F255" s="245">
        <f>IF('L2-B TS1-Submission'!P40&lt;&gt;"",'L2-B TS1-Submission'!P40,"")</f>
        <v/>
      </c>
    </row>
    <row r="256" ht="29" customHeight="1" s="125">
      <c r="A256" s="244">
        <f>'L2-B TS1-Submission'!A41</f>
        <v/>
      </c>
      <c r="B256" s="245">
        <f>"   ↳  "&amp;IF('L2-B TS1-Submission'!H41="Yes","★ ","")&amp;'L2-B TS1-Submission'!C41</f>
        <v/>
      </c>
      <c r="C256" s="204" t="n"/>
      <c r="D256" s="240">
        <f>IF('L2-B TS1-Submission'!M41="Met","✓ Met",IF('L2-B TS1-Submission'!M41="Not Met","✗ Not met",IF('L2-B TS1-Submission'!M41="N/A","— N/A","○ Not tested")))</f>
        <v/>
      </c>
      <c r="E256" s="245" t="n"/>
      <c r="F256" s="245">
        <f>IF('L2-B TS1-Submission'!P41&lt;&gt;"",'L2-B TS1-Submission'!P41,"")</f>
        <v/>
      </c>
    </row>
    <row r="257" ht="16" customHeight="1" s="125">
      <c r="A257" s="244">
        <f>'L2-B TS1-Submission'!A42</f>
        <v/>
      </c>
      <c r="B257" s="245">
        <f>"   ↳  "&amp;IF('L2-B TS1-Submission'!H42="Yes","★ ","")&amp;'L2-B TS1-Submission'!C42</f>
        <v/>
      </c>
      <c r="C257" s="204" t="n"/>
      <c r="D257" s="240">
        <f>IF('L2-B TS1-Submission'!M42="Met","✓ Met",IF('L2-B TS1-Submission'!M42="Not Met","✗ Not met",IF('L2-B TS1-Submission'!M42="N/A","— N/A","○ Not tested")))</f>
        <v/>
      </c>
      <c r="E257" s="245" t="n"/>
      <c r="F257" s="245">
        <f>IF('L2-B TS1-Submission'!P42&lt;&gt;"",'L2-B TS1-Submission'!P42,"")</f>
        <v/>
      </c>
    </row>
    <row r="258" ht="43" customHeight="1" s="125">
      <c r="A258" s="238">
        <f>'L2-B TS1-Submission'!A43</f>
        <v/>
      </c>
      <c r="B258" s="239">
        <f>'L2-B TS1-Submission'!C43&amp;CHAR(10)&amp;"["&amp;'L2-B TS1-Submission'!B43&amp;" · "&amp;'L2-B TS1-Submission'!G43&amp;"]"</f>
        <v/>
      </c>
      <c r="C258" s="240">
        <f>IF('L2-B TS1-Submission'!I43=0,"Info only",IF('L2-B TS1-Submission'!H43="Yes","★ CRITICAL"&amp;CHAR(10),IF('L2-B TS1-Submission'!H43="★ subs","★ critical sub-items"&amp;CHAR(10),""))&amp;'L2-B TS1-Submission'!J43&amp;" · W"&amp;'L2-B TS1-Submission'!I43)</f>
        <v/>
      </c>
      <c r="D258" s="226">
        <f>IF('L2-B TS1-Submission'!I43=0,"— Not scored",IF('L2-B TS1-Submission'!J43="Tier",IF('L2-B TS1-Submission'!M43="Fully integrated","✓ FULLY INTEGRATED",IF('L2-B TS1-Submission'!M43="Not Met","✗ NOT MET",IF('L2-B TS1-Submission'!M43="Not Tested","○ NOT TESTED","◐ "&amp;UPPER('L2-B TS1-Submission'!M43)))),IF('L2-B TS1-Submission'!M43="Met","✓ MET",IF('L2-B TS1-Submission'!M43="Not Met","✗ NOT MET",IF('L2-B TS1-Submission'!M43="N/A","— N/A",IF('L2-B TS1-Submission'!M43="Counted",IF(AND('L2-B TS1-Submission'!N43&gt;=1,'L2-B TS1-Submission'!S43=0),"✓ MET",IF('L2-B TS1-Submission'!J43="All-or-nothing","✗ NOT MET",IF('L2-B TS1-Submission'!S43=1,"✗ NOT MET (★)","◐ PARTIAL")))&amp;CHAR(10)&amp;"("&amp;'L2-B TS1-Submission'!L43&amp;" of "&amp;'L2-B TS1-Submission'!K43&amp;")","○ NOT TESTED"))))))</f>
        <v/>
      </c>
      <c r="E258" s="241">
        <f>IF('L2-B TS1-Submission'!N43="","—",'L2-B TS1-Submission'!N43)</f>
        <v/>
      </c>
      <c r="F258" s="223">
        <f>'L2-B TS1-Submission'!O43&amp;IF('L2-B TS1-Submission'!P43&lt;&gt;"",CHAR(10)&amp;"Notes: "&amp;'L2-B TS1-Submission'!P43,"")</f>
        <v/>
      </c>
    </row>
    <row r="259" ht="208" customHeight="1" s="125">
      <c r="A259" s="242" t="n"/>
      <c r="B259" s="243">
        <f>"Developer's Guide: "&amp;IFERROR(LEFT('L2-B TS1-Submission'!D43,FIND(CHAR(10)&amp;CHAR(10)&amp;"Purpose:",'L2-B TS1-Submission'!D43)-1),'L2-B TS1-Submission'!D43)</f>
        <v/>
      </c>
      <c r="C259" s="243">
        <f>"Validator's Guide: "&amp;'L2-B TS1-Submission'!E43&amp;CHAR(10)&amp;"Evidence: "&amp;'L2-B TS1-Submission'!F43</f>
        <v/>
      </c>
      <c r="D259" s="203" t="n"/>
      <c r="E259" s="203" t="n"/>
      <c r="F259" s="204" t="n"/>
    </row>
    <row r="260" ht="16" customHeight="1" s="125">
      <c r="A260" s="244">
        <f>'L2-B TS1-Submission'!A44</f>
        <v/>
      </c>
      <c r="B260" s="245">
        <f>"   ↳  "&amp;IF('L2-B TS1-Submission'!H44="Yes","★ ","")&amp;'L2-B TS1-Submission'!C44</f>
        <v/>
      </c>
      <c r="C260" s="204" t="n"/>
      <c r="D260" s="240">
        <f>IF('L2-B TS1-Submission'!M44="Met","✓ Met",IF('L2-B TS1-Submission'!M44="Not Met","✗ Not met",IF('L2-B TS1-Submission'!M44="N/A","— N/A","○ Not tested")))</f>
        <v/>
      </c>
      <c r="E260" s="245" t="n"/>
      <c r="F260" s="245">
        <f>IF('L2-B TS1-Submission'!P44&lt;&gt;"",'L2-B TS1-Submission'!P44,"")</f>
        <v/>
      </c>
    </row>
    <row r="261" ht="16" customHeight="1" s="125">
      <c r="A261" s="244">
        <f>'L2-B TS1-Submission'!A45</f>
        <v/>
      </c>
      <c r="B261" s="245">
        <f>"   ↳  "&amp;IF('L2-B TS1-Submission'!H45="Yes","★ ","")&amp;'L2-B TS1-Submission'!C45</f>
        <v/>
      </c>
      <c r="C261" s="204" t="n"/>
      <c r="D261" s="240">
        <f>IF('L2-B TS1-Submission'!M45="Met","✓ Met",IF('L2-B TS1-Submission'!M45="Not Met","✗ Not met",IF('L2-B TS1-Submission'!M45="N/A","— N/A","○ Not tested")))</f>
        <v/>
      </c>
      <c r="E261" s="245" t="n"/>
      <c r="F261" s="245">
        <f>IF('L2-B TS1-Submission'!P45&lt;&gt;"",'L2-B TS1-Submission'!P45,"")</f>
        <v/>
      </c>
    </row>
    <row r="262" ht="16" customHeight="1" s="125">
      <c r="A262" s="244">
        <f>'L2-B TS1-Submission'!A46</f>
        <v/>
      </c>
      <c r="B262" s="245">
        <f>"   ↳  "&amp;IF('L2-B TS1-Submission'!H46="Yes","★ ","")&amp;'L2-B TS1-Submission'!C46</f>
        <v/>
      </c>
      <c r="C262" s="204" t="n"/>
      <c r="D262" s="240">
        <f>IF('L2-B TS1-Submission'!M46="Met","✓ Met",IF('L2-B TS1-Submission'!M46="Not Met","✗ Not met",IF('L2-B TS1-Submission'!M46="N/A","— N/A","○ Not tested")))</f>
        <v/>
      </c>
      <c r="E262" s="245" t="n"/>
      <c r="F262" s="245">
        <f>IF('L2-B TS1-Submission'!P46&lt;&gt;"",'L2-B TS1-Submission'!P46,"")</f>
        <v/>
      </c>
    </row>
    <row r="263" ht="43" customHeight="1" s="125">
      <c r="A263" s="238">
        <f>'L2-B TS1-Submission'!A47</f>
        <v/>
      </c>
      <c r="B263" s="239">
        <f>'L2-B TS1-Submission'!C47&amp;CHAR(10)&amp;"["&amp;'L2-B TS1-Submission'!B47&amp;" · "&amp;'L2-B TS1-Submission'!G47&amp;"]"</f>
        <v/>
      </c>
      <c r="C263" s="240">
        <f>IF('L2-B TS1-Submission'!I47=0,"Info only",IF('L2-B TS1-Submission'!H47="Yes","★ CRITICAL"&amp;CHAR(10),IF('L2-B TS1-Submission'!H47="★ subs","★ critical sub-items"&amp;CHAR(10),""))&amp;'L2-B TS1-Submission'!J47&amp;" · W"&amp;'L2-B TS1-Submission'!I47)</f>
        <v/>
      </c>
      <c r="D263" s="226">
        <f>IF('L2-B TS1-Submission'!I47=0,"— Not scored",IF('L2-B TS1-Submission'!J47="Tier",IF('L2-B TS1-Submission'!M47="Fully integrated","✓ FULLY INTEGRATED",IF('L2-B TS1-Submission'!M47="Not Met","✗ NOT MET",IF('L2-B TS1-Submission'!M47="Not Tested","○ NOT TESTED","◐ "&amp;UPPER('L2-B TS1-Submission'!M47)))),IF('L2-B TS1-Submission'!M47="Met","✓ MET",IF('L2-B TS1-Submission'!M47="Not Met","✗ NOT MET",IF('L2-B TS1-Submission'!M47="N/A","— N/A",IF('L2-B TS1-Submission'!M47="Counted",IF(AND('L2-B TS1-Submission'!N47&gt;=1,'L2-B TS1-Submission'!S47=0),"✓ MET",IF('L2-B TS1-Submission'!J47="All-or-nothing","✗ NOT MET",IF('L2-B TS1-Submission'!S47=1,"✗ NOT MET (★)","◐ PARTIAL")))&amp;CHAR(10)&amp;"("&amp;'L2-B TS1-Submission'!L47&amp;" of "&amp;'L2-B TS1-Submission'!K47&amp;")","○ NOT TESTED"))))))</f>
        <v/>
      </c>
      <c r="E263" s="241">
        <f>IF('L2-B TS1-Submission'!N47="","—",'L2-B TS1-Submission'!N47)</f>
        <v/>
      </c>
      <c r="F263" s="223">
        <f>'L2-B TS1-Submission'!O47&amp;IF('L2-B TS1-Submission'!P47&lt;&gt;"",CHAR(10)&amp;"Notes: "&amp;'L2-B TS1-Submission'!P47,"")</f>
        <v/>
      </c>
    </row>
    <row r="264" ht="196" customHeight="1" s="125">
      <c r="A264" s="242" t="n"/>
      <c r="B264" s="243">
        <f>"Developer's Guide: "&amp;IFERROR(LEFT('L2-B TS1-Submission'!D47,FIND(CHAR(10)&amp;CHAR(10)&amp;"Purpose:",'L2-B TS1-Submission'!D47)-1),'L2-B TS1-Submission'!D47)</f>
        <v/>
      </c>
      <c r="C264" s="243">
        <f>"Validator's Guide: "&amp;'L2-B TS1-Submission'!E47&amp;CHAR(10)&amp;"Evidence: "&amp;'L2-B TS1-Submission'!F47</f>
        <v/>
      </c>
      <c r="D264" s="203" t="n"/>
      <c r="E264" s="203" t="n"/>
      <c r="F264" s="204" t="n"/>
    </row>
    <row r="265" ht="29" customHeight="1" s="125">
      <c r="A265" s="244">
        <f>'L2-B TS1-Submission'!A48</f>
        <v/>
      </c>
      <c r="B265" s="245">
        <f>"   ↳  "&amp;IF('L2-B TS1-Submission'!H48="Yes","★ ","")&amp;'L2-B TS1-Submission'!C48</f>
        <v/>
      </c>
      <c r="C265" s="204" t="n"/>
      <c r="D265" s="240">
        <f>IF('L2-B TS1-Submission'!M48="Met","✓ Met",IF('L2-B TS1-Submission'!M48="Not Met","✗ Not met",IF('L2-B TS1-Submission'!M48="N/A","— N/A","○ Not tested")))</f>
        <v/>
      </c>
      <c r="E265" s="245" t="n"/>
      <c r="F265" s="245">
        <f>IF('L2-B TS1-Submission'!P48&lt;&gt;"",'L2-B TS1-Submission'!P48,"")</f>
        <v/>
      </c>
    </row>
    <row r="266" ht="16" customHeight="1" s="125">
      <c r="A266" s="244">
        <f>'L2-B TS1-Submission'!A49</f>
        <v/>
      </c>
      <c r="B266" s="245">
        <f>"   ↳  "&amp;IF('L2-B TS1-Submission'!H49="Yes","★ ","")&amp;'L2-B TS1-Submission'!C49</f>
        <v/>
      </c>
      <c r="C266" s="204" t="n"/>
      <c r="D266" s="240">
        <f>IF('L2-B TS1-Submission'!M49="Met","✓ Met",IF('L2-B TS1-Submission'!M49="Not Met","✗ Not met",IF('L2-B TS1-Submission'!M49="N/A","— N/A","○ Not tested")))</f>
        <v/>
      </c>
      <c r="E266" s="245" t="n"/>
      <c r="F266" s="245">
        <f>IF('L2-B TS1-Submission'!P49&lt;&gt;"",'L2-B TS1-Submission'!P49,"")</f>
        <v/>
      </c>
    </row>
    <row r="267" ht="16" customHeight="1" s="125">
      <c r="A267" s="244">
        <f>'L2-B TS1-Submission'!A50</f>
        <v/>
      </c>
      <c r="B267" s="245">
        <f>"   ↳  "&amp;IF('L2-B TS1-Submission'!H50="Yes","★ ","")&amp;'L2-B TS1-Submission'!C50</f>
        <v/>
      </c>
      <c r="C267" s="204" t="n"/>
      <c r="D267" s="240">
        <f>IF('L2-B TS1-Submission'!M50="Met","✓ Met",IF('L2-B TS1-Submission'!M50="Not Met","✗ Not met",IF('L2-B TS1-Submission'!M50="N/A","— N/A","○ Not tested")))</f>
        <v/>
      </c>
      <c r="E267" s="245" t="n"/>
      <c r="F267" s="245">
        <f>IF('L2-B TS1-Submission'!P50&lt;&gt;"",'L2-B TS1-Submission'!P50,"")</f>
        <v/>
      </c>
    </row>
    <row r="268" ht="16" customHeight="1" s="125">
      <c r="A268" s="244">
        <f>'L2-B TS1-Submission'!A51</f>
        <v/>
      </c>
      <c r="B268" s="245">
        <f>"   ↳  "&amp;IF('L2-B TS1-Submission'!H51="Yes","★ ","")&amp;'L2-B TS1-Submission'!C51</f>
        <v/>
      </c>
      <c r="C268" s="204" t="n"/>
      <c r="D268" s="240">
        <f>IF('L2-B TS1-Submission'!M51="Met","✓ Met",IF('L2-B TS1-Submission'!M51="Not Met","✗ Not met",IF('L2-B TS1-Submission'!M51="N/A","— N/A","○ Not tested")))</f>
        <v/>
      </c>
      <c r="E268" s="245" t="n"/>
      <c r="F268" s="245">
        <f>IF('L2-B TS1-Submission'!P51&lt;&gt;"",'L2-B TS1-Submission'!P51,"")</f>
        <v/>
      </c>
    </row>
    <row r="269" ht="16" customHeight="1" s="125">
      <c r="A269" s="244">
        <f>'L2-B TS1-Submission'!A52</f>
        <v/>
      </c>
      <c r="B269" s="245">
        <f>"   ↳  "&amp;IF('L2-B TS1-Submission'!H52="Yes","★ ","")&amp;'L2-B TS1-Submission'!C52</f>
        <v/>
      </c>
      <c r="C269" s="204" t="n"/>
      <c r="D269" s="240">
        <f>IF('L2-B TS1-Submission'!M52="Met","✓ Met",IF('L2-B TS1-Submission'!M52="Not Met","✗ Not met",IF('L2-B TS1-Submission'!M52="N/A","— N/A","○ Not tested")))</f>
        <v/>
      </c>
      <c r="E269" s="245" t="n"/>
      <c r="F269" s="245">
        <f>IF('L2-B TS1-Submission'!P52&lt;&gt;"",'L2-B TS1-Submission'!P52,"")</f>
        <v/>
      </c>
    </row>
    <row r="270" ht="16" customHeight="1" s="125">
      <c r="A270" s="244">
        <f>'L2-B TS1-Submission'!A53</f>
        <v/>
      </c>
      <c r="B270" s="245">
        <f>"   ↳  "&amp;IF('L2-B TS1-Submission'!H53="Yes","★ ","")&amp;'L2-B TS1-Submission'!C53</f>
        <v/>
      </c>
      <c r="C270" s="204" t="n"/>
      <c r="D270" s="240">
        <f>IF('L2-B TS1-Submission'!M53="Met","✓ Met",IF('L2-B TS1-Submission'!M53="Not Met","✗ Not met",IF('L2-B TS1-Submission'!M53="N/A","— N/A","○ Not tested")))</f>
        <v/>
      </c>
      <c r="E270" s="245" t="n"/>
      <c r="F270" s="245">
        <f>IF('L2-B TS1-Submission'!P53&lt;&gt;"",'L2-B TS1-Submission'!P53,"")</f>
        <v/>
      </c>
    </row>
    <row r="271" ht="43" customHeight="1" s="125">
      <c r="A271" s="238">
        <f>'L2-B TS1-Submission'!A54</f>
        <v/>
      </c>
      <c r="B271" s="239">
        <f>'L2-B TS1-Submission'!C54&amp;CHAR(10)&amp;"["&amp;'L2-B TS1-Submission'!B54&amp;" · "&amp;'L2-B TS1-Submission'!G54&amp;"]"</f>
        <v/>
      </c>
      <c r="C271" s="240">
        <f>IF('L2-B TS1-Submission'!I54=0,"Info only",IF('L2-B TS1-Submission'!H54="Yes","★ CRITICAL"&amp;CHAR(10),IF('L2-B TS1-Submission'!H54="★ subs","★ critical sub-items"&amp;CHAR(10),""))&amp;'L2-B TS1-Submission'!J54&amp;" · W"&amp;'L2-B TS1-Submission'!I54)</f>
        <v/>
      </c>
      <c r="D271" s="226">
        <f>IF('L2-B TS1-Submission'!I54=0,"— Not scored",IF('L2-B TS1-Submission'!J54="Tier",IF('L2-B TS1-Submission'!M54="Fully integrated","✓ FULLY INTEGRATED",IF('L2-B TS1-Submission'!M54="Not Met","✗ NOT MET",IF('L2-B TS1-Submission'!M54="Not Tested","○ NOT TESTED","◐ "&amp;UPPER('L2-B TS1-Submission'!M54)))),IF('L2-B TS1-Submission'!M54="Met","✓ MET",IF('L2-B TS1-Submission'!M54="Not Met","✗ NOT MET",IF('L2-B TS1-Submission'!M54="N/A","— N/A",IF('L2-B TS1-Submission'!M54="Counted",IF(AND('L2-B TS1-Submission'!N54&gt;=1,'L2-B TS1-Submission'!S54=0),"✓ MET",IF('L2-B TS1-Submission'!J54="All-or-nothing","✗ NOT MET",IF('L2-B TS1-Submission'!S54=1,"✗ NOT MET (★)","◐ PARTIAL")))&amp;CHAR(10)&amp;"("&amp;'L2-B TS1-Submission'!L54&amp;" of "&amp;'L2-B TS1-Submission'!K54&amp;")","○ NOT TESTED"))))))</f>
        <v/>
      </c>
      <c r="E271" s="241">
        <f>IF('L2-B TS1-Submission'!N54="","—",'L2-B TS1-Submission'!N54)</f>
        <v/>
      </c>
      <c r="F271" s="223">
        <f>'L2-B TS1-Submission'!O54&amp;IF('L2-B TS1-Submission'!P54&lt;&gt;"",CHAR(10)&amp;"Notes: "&amp;'L2-B TS1-Submission'!P54,"")</f>
        <v/>
      </c>
    </row>
    <row r="272" ht="124" customHeight="1" s="125">
      <c r="A272" s="242" t="n"/>
      <c r="B272" s="243">
        <f>"Developer's Guide: "&amp;IFERROR(LEFT('L2-B TS1-Submission'!D54,FIND(CHAR(10)&amp;CHAR(10)&amp;"Purpose:",'L2-B TS1-Submission'!D54)-1),'L2-B TS1-Submission'!D54)</f>
        <v/>
      </c>
      <c r="C272" s="243">
        <f>"Validator's Guide: "&amp;'L2-B TS1-Submission'!E54&amp;CHAR(10)&amp;"Evidence: "&amp;'L2-B TS1-Submission'!F54</f>
        <v/>
      </c>
      <c r="D272" s="203" t="n"/>
      <c r="E272" s="203" t="n"/>
      <c r="F272" s="204" t="n"/>
    </row>
    <row r="273" ht="43" customHeight="1" s="125">
      <c r="A273" s="238">
        <f>'L2-B TS1-Submission'!A55</f>
        <v/>
      </c>
      <c r="B273" s="239">
        <f>'L2-B TS1-Submission'!C55&amp;CHAR(10)&amp;"["&amp;'L2-B TS1-Submission'!B55&amp;" · "&amp;'L2-B TS1-Submission'!G55&amp;"]"</f>
        <v/>
      </c>
      <c r="C273" s="240">
        <f>IF('L2-B TS1-Submission'!I55=0,"Info only",IF('L2-B TS1-Submission'!H55="Yes","★ CRITICAL"&amp;CHAR(10),IF('L2-B TS1-Submission'!H55="★ subs","★ critical sub-items"&amp;CHAR(10),""))&amp;'L2-B TS1-Submission'!J55&amp;" · W"&amp;'L2-B TS1-Submission'!I55)</f>
        <v/>
      </c>
      <c r="D273" s="226">
        <f>IF('L2-B TS1-Submission'!I55=0,"— Not scored",IF('L2-B TS1-Submission'!J55="Tier",IF('L2-B TS1-Submission'!M55="Fully integrated","✓ FULLY INTEGRATED",IF('L2-B TS1-Submission'!M55="Not Met","✗ NOT MET",IF('L2-B TS1-Submission'!M55="Not Tested","○ NOT TESTED","◐ "&amp;UPPER('L2-B TS1-Submission'!M55)))),IF('L2-B TS1-Submission'!M55="Met","✓ MET",IF('L2-B TS1-Submission'!M55="Not Met","✗ NOT MET",IF('L2-B TS1-Submission'!M55="N/A","— N/A",IF('L2-B TS1-Submission'!M55="Counted",IF(AND('L2-B TS1-Submission'!N55&gt;=1,'L2-B TS1-Submission'!S55=0),"✓ MET",IF('L2-B TS1-Submission'!J55="All-or-nothing","✗ NOT MET",IF('L2-B TS1-Submission'!S55=1,"✗ NOT MET (★)","◐ PARTIAL")))&amp;CHAR(10)&amp;"("&amp;'L2-B TS1-Submission'!L55&amp;" of "&amp;'L2-B TS1-Submission'!K55&amp;")","○ NOT TESTED"))))))</f>
        <v/>
      </c>
      <c r="E273" s="241">
        <f>IF('L2-B TS1-Submission'!N55="","—",'L2-B TS1-Submission'!N55)</f>
        <v/>
      </c>
      <c r="F273" s="223">
        <f>'L2-B TS1-Submission'!O55&amp;IF('L2-B TS1-Submission'!P55&lt;&gt;"",CHAR(10)&amp;"Notes: "&amp;'L2-B TS1-Submission'!P55,"")</f>
        <v/>
      </c>
    </row>
    <row r="274" ht="124" customHeight="1" s="125">
      <c r="A274" s="242" t="n"/>
      <c r="B274" s="243">
        <f>"Developer's Guide: "&amp;IFERROR(LEFT('L2-B TS1-Submission'!D55,FIND(CHAR(10)&amp;CHAR(10)&amp;"Purpose:",'L2-B TS1-Submission'!D55)-1),'L2-B TS1-Submission'!D55)</f>
        <v/>
      </c>
      <c r="C274" s="243">
        <f>"Validator's Guide: "&amp;'L2-B TS1-Submission'!E55&amp;CHAR(10)&amp;"Evidence: "&amp;'L2-B TS1-Submission'!F55</f>
        <v/>
      </c>
      <c r="D274" s="203" t="n"/>
      <c r="E274" s="203" t="n"/>
      <c r="F274" s="204" t="n"/>
    </row>
    <row r="275" ht="43" customHeight="1" s="125">
      <c r="A275" s="238">
        <f>'L2-B TS1-Submission'!A56</f>
        <v/>
      </c>
      <c r="B275" s="239">
        <f>'L2-B TS1-Submission'!C56&amp;CHAR(10)&amp;"["&amp;'L2-B TS1-Submission'!B56&amp;" · "&amp;'L2-B TS1-Submission'!G56&amp;"]"</f>
        <v/>
      </c>
      <c r="C275" s="240">
        <f>IF('L2-B TS1-Submission'!I56=0,"Info only",IF('L2-B TS1-Submission'!H56="Yes","★ CRITICAL"&amp;CHAR(10),IF('L2-B TS1-Submission'!H56="★ subs","★ critical sub-items"&amp;CHAR(10),""))&amp;'L2-B TS1-Submission'!J56&amp;" · W"&amp;'L2-B TS1-Submission'!I56)</f>
        <v/>
      </c>
      <c r="D275" s="226">
        <f>IF('L2-B TS1-Submission'!I56=0,"— Not scored",IF('L2-B TS1-Submission'!J56="Tier",IF('L2-B TS1-Submission'!M56="Fully integrated","✓ FULLY INTEGRATED",IF('L2-B TS1-Submission'!M56="Not Met","✗ NOT MET",IF('L2-B TS1-Submission'!M56="Not Tested","○ NOT TESTED","◐ "&amp;UPPER('L2-B TS1-Submission'!M56)))),IF('L2-B TS1-Submission'!M56="Met","✓ MET",IF('L2-B TS1-Submission'!M56="Not Met","✗ NOT MET",IF('L2-B TS1-Submission'!M56="N/A","— N/A",IF('L2-B TS1-Submission'!M56="Counted",IF(AND('L2-B TS1-Submission'!N56&gt;=1,'L2-B TS1-Submission'!S56=0),"✓ MET",IF('L2-B TS1-Submission'!J56="All-or-nothing","✗ NOT MET",IF('L2-B TS1-Submission'!S56=1,"✗ NOT MET (★)","◐ PARTIAL")))&amp;CHAR(10)&amp;"("&amp;'L2-B TS1-Submission'!L56&amp;" of "&amp;'L2-B TS1-Submission'!K56&amp;")","○ NOT TESTED"))))))</f>
        <v/>
      </c>
      <c r="E275" s="241">
        <f>IF('L2-B TS1-Submission'!N56="","—",'L2-B TS1-Submission'!N56)</f>
        <v/>
      </c>
      <c r="F275" s="223">
        <f>'L2-B TS1-Submission'!O56&amp;IF('L2-B TS1-Submission'!P56&lt;&gt;"",CHAR(10)&amp;"Notes: "&amp;'L2-B TS1-Submission'!P56,"")</f>
        <v/>
      </c>
    </row>
    <row r="276" ht="184" customHeight="1" s="125">
      <c r="A276" s="242" t="n"/>
      <c r="B276" s="243">
        <f>"Developer's Guide: "&amp;IFERROR(LEFT('L2-B TS1-Submission'!D56,FIND(CHAR(10)&amp;CHAR(10)&amp;"Purpose:",'L2-B TS1-Submission'!D56)-1),'L2-B TS1-Submission'!D56)</f>
        <v/>
      </c>
      <c r="C276" s="243">
        <f>"Validator's Guide: "&amp;'L2-B TS1-Submission'!E56&amp;CHAR(10)&amp;"Evidence: "&amp;'L2-B TS1-Submission'!F56</f>
        <v/>
      </c>
      <c r="D276" s="203" t="n"/>
      <c r="E276" s="203" t="n"/>
      <c r="F276" s="204" t="n"/>
    </row>
    <row r="277" ht="16" customHeight="1" s="125">
      <c r="A277" s="244">
        <f>'L2-B TS1-Submission'!A57</f>
        <v/>
      </c>
      <c r="B277" s="245">
        <f>"   ↳  "&amp;IF('L2-B TS1-Submission'!H57="Yes","★ ","")&amp;'L2-B TS1-Submission'!C57</f>
        <v/>
      </c>
      <c r="C277" s="204" t="n"/>
      <c r="D277" s="240">
        <f>IF('L2-B TS1-Submission'!M57="Met","✓ Met",IF('L2-B TS1-Submission'!M57="Not Met","✗ Not met",IF('L2-B TS1-Submission'!M57="N/A","— N/A","○ Not tested")))</f>
        <v/>
      </c>
      <c r="E277" s="245" t="n"/>
      <c r="F277" s="245">
        <f>IF('L2-B TS1-Submission'!P57&lt;&gt;"",'L2-B TS1-Submission'!P57,"")</f>
        <v/>
      </c>
    </row>
    <row r="278" ht="16" customHeight="1" s="125">
      <c r="A278" s="244">
        <f>'L2-B TS1-Submission'!A58</f>
        <v/>
      </c>
      <c r="B278" s="245">
        <f>"   ↳  "&amp;IF('L2-B TS1-Submission'!H58="Yes","★ ","")&amp;'L2-B TS1-Submission'!C58</f>
        <v/>
      </c>
      <c r="C278" s="204" t="n"/>
      <c r="D278" s="240">
        <f>IF('L2-B TS1-Submission'!M58="Met","✓ Met",IF('L2-B TS1-Submission'!M58="Not Met","✗ Not met",IF('L2-B TS1-Submission'!M58="N/A","— N/A","○ Not tested")))</f>
        <v/>
      </c>
      <c r="E278" s="245" t="n"/>
      <c r="F278" s="245">
        <f>IF('L2-B TS1-Submission'!P58&lt;&gt;"",'L2-B TS1-Submission'!P58,"")</f>
        <v/>
      </c>
    </row>
    <row r="279" ht="43" customHeight="1" s="125">
      <c r="A279" s="238">
        <f>'L2-B TS1-Submission'!A59</f>
        <v/>
      </c>
      <c r="B279" s="239">
        <f>'L2-B TS1-Submission'!C59&amp;CHAR(10)&amp;"["&amp;'L2-B TS1-Submission'!B59&amp;" · "&amp;'L2-B TS1-Submission'!G59&amp;"]"</f>
        <v/>
      </c>
      <c r="C279" s="240">
        <f>IF('L2-B TS1-Submission'!I59=0,"Info only",IF('L2-B TS1-Submission'!H59="Yes","★ CRITICAL"&amp;CHAR(10),IF('L2-B TS1-Submission'!H59="★ subs","★ critical sub-items"&amp;CHAR(10),""))&amp;'L2-B TS1-Submission'!J59&amp;" · W"&amp;'L2-B TS1-Submission'!I59)</f>
        <v/>
      </c>
      <c r="D279" s="226">
        <f>IF('L2-B TS1-Submission'!I59=0,"— Not scored",IF('L2-B TS1-Submission'!J59="Tier",IF('L2-B TS1-Submission'!M59="Fully integrated","✓ FULLY INTEGRATED",IF('L2-B TS1-Submission'!M59="Not Met","✗ NOT MET",IF('L2-B TS1-Submission'!M59="Not Tested","○ NOT TESTED","◐ "&amp;UPPER('L2-B TS1-Submission'!M59)))),IF('L2-B TS1-Submission'!M59="Met","✓ MET",IF('L2-B TS1-Submission'!M59="Not Met","✗ NOT MET",IF('L2-B TS1-Submission'!M59="N/A","— N/A",IF('L2-B TS1-Submission'!M59="Counted",IF(AND('L2-B TS1-Submission'!N59&gt;=1,'L2-B TS1-Submission'!S59=0),"✓ MET",IF('L2-B TS1-Submission'!J59="All-or-nothing","✗ NOT MET",IF('L2-B TS1-Submission'!S59=1,"✗ NOT MET (★)","◐ PARTIAL")))&amp;CHAR(10)&amp;"("&amp;'L2-B TS1-Submission'!L59&amp;" of "&amp;'L2-B TS1-Submission'!K59&amp;")","○ NOT TESTED"))))))</f>
        <v/>
      </c>
      <c r="E279" s="241">
        <f>IF('L2-B TS1-Submission'!N59="","—",'L2-B TS1-Submission'!N59)</f>
        <v/>
      </c>
      <c r="F279" s="223">
        <f>'L2-B TS1-Submission'!O59&amp;IF('L2-B TS1-Submission'!P59&lt;&gt;"",CHAR(10)&amp;"Notes: "&amp;'L2-B TS1-Submission'!P59,"")</f>
        <v/>
      </c>
    </row>
    <row r="280" ht="196" customHeight="1" s="125">
      <c r="A280" s="242" t="n"/>
      <c r="B280" s="243">
        <f>"Developer's Guide: "&amp;IFERROR(LEFT('L2-B TS1-Submission'!D59,FIND(CHAR(10)&amp;CHAR(10)&amp;"Purpose:",'L2-B TS1-Submission'!D59)-1),'L2-B TS1-Submission'!D59)</f>
        <v/>
      </c>
      <c r="C280" s="243">
        <f>"Validator's Guide: "&amp;'L2-B TS1-Submission'!E59&amp;CHAR(10)&amp;"Evidence: "&amp;'L2-B TS1-Submission'!F59</f>
        <v/>
      </c>
      <c r="D280" s="203" t="n"/>
      <c r="E280" s="203" t="n"/>
      <c r="F280" s="204" t="n"/>
    </row>
    <row r="281" ht="16" customHeight="1" s="125">
      <c r="A281" s="244">
        <f>'L2-B TS1-Submission'!A60</f>
        <v/>
      </c>
      <c r="B281" s="245">
        <f>"   ↳  "&amp;IF('L2-B TS1-Submission'!H60="Yes","★ ","")&amp;'L2-B TS1-Submission'!C60</f>
        <v/>
      </c>
      <c r="C281" s="204" t="n"/>
      <c r="D281" s="240">
        <f>IF('L2-B TS1-Submission'!M60="Met","✓ Met",IF('L2-B TS1-Submission'!M60="Not Met","✗ Not met",IF('L2-B TS1-Submission'!M60="N/A","— N/A","○ Not tested")))</f>
        <v/>
      </c>
      <c r="E281" s="245" t="n"/>
      <c r="F281" s="245">
        <f>IF('L2-B TS1-Submission'!P60&lt;&gt;"",'L2-B TS1-Submission'!P60,"")</f>
        <v/>
      </c>
    </row>
    <row r="282" ht="29" customHeight="1" s="125">
      <c r="A282" s="244">
        <f>'L2-B TS1-Submission'!A61</f>
        <v/>
      </c>
      <c r="B282" s="245">
        <f>"   ↳  "&amp;IF('L2-B TS1-Submission'!H61="Yes","★ ","")&amp;'L2-B TS1-Submission'!C61</f>
        <v/>
      </c>
      <c r="C282" s="204" t="n"/>
      <c r="D282" s="240">
        <f>IF('L2-B TS1-Submission'!M61="Met","✓ Met",IF('L2-B TS1-Submission'!M61="Not Met","✗ Not met",IF('L2-B TS1-Submission'!M61="N/A","— N/A","○ Not tested")))</f>
        <v/>
      </c>
      <c r="E282" s="245" t="n"/>
      <c r="F282" s="245">
        <f>IF('L2-B TS1-Submission'!P61&lt;&gt;"",'L2-B TS1-Submission'!P61,"")</f>
        <v/>
      </c>
    </row>
    <row r="283" ht="29" customHeight="1" s="125">
      <c r="A283" s="244">
        <f>'L2-B TS1-Submission'!A62</f>
        <v/>
      </c>
      <c r="B283" s="245">
        <f>"   ↳  "&amp;IF('L2-B TS1-Submission'!H62="Yes","★ ","")&amp;'L2-B TS1-Submission'!C62</f>
        <v/>
      </c>
      <c r="C283" s="204" t="n"/>
      <c r="D283" s="240">
        <f>IF('L2-B TS1-Submission'!M62="Met","✓ Met",IF('L2-B TS1-Submission'!M62="Not Met","✗ Not met",IF('L2-B TS1-Submission'!M62="N/A","— N/A","○ Not tested")))</f>
        <v/>
      </c>
      <c r="E283" s="245" t="n"/>
      <c r="F283" s="245">
        <f>IF('L2-B TS1-Submission'!P62&lt;&gt;"",'L2-B TS1-Submission'!P62,"")</f>
        <v/>
      </c>
    </row>
    <row r="284" ht="16" customHeight="1" s="125">
      <c r="A284" s="244">
        <f>'L2-B TS1-Submission'!A63</f>
        <v/>
      </c>
      <c r="B284" s="245">
        <f>"   ↳  "&amp;IF('L2-B TS1-Submission'!H63="Yes","★ ","")&amp;'L2-B TS1-Submission'!C63</f>
        <v/>
      </c>
      <c r="C284" s="204" t="n"/>
      <c r="D284" s="240">
        <f>IF('L2-B TS1-Submission'!M63="Met","✓ Met",IF('L2-B TS1-Submission'!M63="Not Met","✗ Not met",IF('L2-B TS1-Submission'!M63="N/A","— N/A","○ Not tested")))</f>
        <v/>
      </c>
      <c r="E284" s="245" t="n"/>
      <c r="F284" s="245">
        <f>IF('L2-B TS1-Submission'!P63&lt;&gt;"",'L2-B TS1-Submission'!P63,"")</f>
        <v/>
      </c>
    </row>
    <row r="285" ht="43" customHeight="1" s="125">
      <c r="A285" s="238">
        <f>'L2-B TS1-Submission'!A64</f>
        <v/>
      </c>
      <c r="B285" s="239">
        <f>'L2-B TS1-Submission'!C64&amp;CHAR(10)&amp;"["&amp;'L2-B TS1-Submission'!B64&amp;" · "&amp;'L2-B TS1-Submission'!G64&amp;"]"</f>
        <v/>
      </c>
      <c r="C285" s="240">
        <f>IF('L2-B TS1-Submission'!I64=0,"Info only",IF('L2-B TS1-Submission'!H64="Yes","★ CRITICAL"&amp;CHAR(10),IF('L2-B TS1-Submission'!H64="★ subs","★ critical sub-items"&amp;CHAR(10),""))&amp;'L2-B TS1-Submission'!J64&amp;" · W"&amp;'L2-B TS1-Submission'!I64)</f>
        <v/>
      </c>
      <c r="D285" s="226">
        <f>IF('L2-B TS1-Submission'!I64=0,"— Not scored",IF('L2-B TS1-Submission'!J64="Tier",IF('L2-B TS1-Submission'!M64="Fully integrated","✓ FULLY INTEGRATED",IF('L2-B TS1-Submission'!M64="Not Met","✗ NOT MET",IF('L2-B TS1-Submission'!M64="Not Tested","○ NOT TESTED","◐ "&amp;UPPER('L2-B TS1-Submission'!M64)))),IF('L2-B TS1-Submission'!M64="Met","✓ MET",IF('L2-B TS1-Submission'!M64="Not Met","✗ NOT MET",IF('L2-B TS1-Submission'!M64="N/A","— N/A",IF('L2-B TS1-Submission'!M64="Counted",IF(AND('L2-B TS1-Submission'!N64&gt;=1,'L2-B TS1-Submission'!S64=0),"✓ MET",IF('L2-B TS1-Submission'!J64="All-or-nothing","✗ NOT MET",IF('L2-B TS1-Submission'!S64=1,"✗ NOT MET (★)","◐ PARTIAL")))&amp;CHAR(10)&amp;"("&amp;'L2-B TS1-Submission'!L64&amp;" of "&amp;'L2-B TS1-Submission'!K64&amp;")","○ NOT TESTED"))))))</f>
        <v/>
      </c>
      <c r="E285" s="241">
        <f>IF('L2-B TS1-Submission'!N64="","—",'L2-B TS1-Submission'!N64)</f>
        <v/>
      </c>
      <c r="F285" s="223">
        <f>'L2-B TS1-Submission'!O64&amp;IF('L2-B TS1-Submission'!P64&lt;&gt;"",CHAR(10)&amp;"Notes: "&amp;'L2-B TS1-Submission'!P64,"")</f>
        <v/>
      </c>
    </row>
    <row r="286" ht="112" customHeight="1" s="125">
      <c r="A286" s="242" t="n"/>
      <c r="B286" s="243">
        <f>"Developer's Guide: "&amp;IFERROR(LEFT('L2-B TS1-Submission'!D64,FIND(CHAR(10)&amp;CHAR(10)&amp;"Purpose:",'L2-B TS1-Submission'!D64)-1),'L2-B TS1-Submission'!D64)</f>
        <v/>
      </c>
      <c r="C286" s="243">
        <f>"Validator's Guide: "&amp;'L2-B TS1-Submission'!E64&amp;CHAR(10)&amp;"Evidence: "&amp;'L2-B TS1-Submission'!F64</f>
        <v/>
      </c>
      <c r="D286" s="203" t="n"/>
      <c r="E286" s="203" t="n"/>
      <c r="F286" s="204" t="n"/>
    </row>
    <row r="287" ht="43" customHeight="1" s="125">
      <c r="A287" s="238">
        <f>'L2-B TS1-Submission'!A65</f>
        <v/>
      </c>
      <c r="B287" s="239">
        <f>'L2-B TS1-Submission'!C65&amp;CHAR(10)&amp;"["&amp;'L2-B TS1-Submission'!B65&amp;" · "&amp;'L2-B TS1-Submission'!G65&amp;"]"</f>
        <v/>
      </c>
      <c r="C287" s="240">
        <f>IF('L2-B TS1-Submission'!I65=0,"Info only",IF('L2-B TS1-Submission'!H65="Yes","★ CRITICAL"&amp;CHAR(10),IF('L2-B TS1-Submission'!H65="★ subs","★ critical sub-items"&amp;CHAR(10),""))&amp;'L2-B TS1-Submission'!J65&amp;" · W"&amp;'L2-B TS1-Submission'!I65)</f>
        <v/>
      </c>
      <c r="D287" s="226">
        <f>IF('L2-B TS1-Submission'!I65=0,"— Not scored",IF('L2-B TS1-Submission'!J65="Tier",IF('L2-B TS1-Submission'!M65="Fully integrated","✓ FULLY INTEGRATED",IF('L2-B TS1-Submission'!M65="Not Met","✗ NOT MET",IF('L2-B TS1-Submission'!M65="Not Tested","○ NOT TESTED","◐ "&amp;UPPER('L2-B TS1-Submission'!M65)))),IF('L2-B TS1-Submission'!M65="Met","✓ MET",IF('L2-B TS1-Submission'!M65="Not Met","✗ NOT MET",IF('L2-B TS1-Submission'!M65="N/A","— N/A",IF('L2-B TS1-Submission'!M65="Counted",IF(AND('L2-B TS1-Submission'!N65&gt;=1,'L2-B TS1-Submission'!S65=0),"✓ MET",IF('L2-B TS1-Submission'!J65="All-or-nothing","✗ NOT MET",IF('L2-B TS1-Submission'!S65=1,"✗ NOT MET (★)","◐ PARTIAL")))&amp;CHAR(10)&amp;"("&amp;'L2-B TS1-Submission'!L65&amp;" of "&amp;'L2-B TS1-Submission'!K65&amp;")","○ NOT TESTED"))))))</f>
        <v/>
      </c>
      <c r="E287" s="241">
        <f>IF('L2-B TS1-Submission'!N65="","—",'L2-B TS1-Submission'!N65)</f>
        <v/>
      </c>
      <c r="F287" s="223">
        <f>'L2-B TS1-Submission'!O65&amp;IF('L2-B TS1-Submission'!P65&lt;&gt;"",CHAR(10)&amp;"Notes: "&amp;'L2-B TS1-Submission'!P65,"")</f>
        <v/>
      </c>
    </row>
    <row r="288" ht="40" customHeight="1" s="125">
      <c r="A288" s="242" t="n"/>
      <c r="B288" s="243">
        <f>"Developer's Guide: "&amp;IFERROR(LEFT('L2-B TS1-Submission'!D65,FIND(CHAR(10)&amp;CHAR(10)&amp;"Purpose:",'L2-B TS1-Submission'!D65)-1),'L2-B TS1-Submission'!D65)</f>
        <v/>
      </c>
      <c r="C288" s="243">
        <f>"Validator's Guide: "&amp;'L2-B TS1-Submission'!E65&amp;CHAR(10)&amp;"Evidence: "&amp;'L2-B TS1-Submission'!F65</f>
        <v/>
      </c>
      <c r="D288" s="203" t="n"/>
      <c r="E288" s="203" t="n"/>
      <c r="F288" s="204" t="n"/>
    </row>
    <row r="289" ht="56" customHeight="1" s="125">
      <c r="A289" s="238">
        <f>'L2-B TS1-Submission'!A66</f>
        <v/>
      </c>
      <c r="B289" s="239">
        <f>'L2-B TS1-Submission'!C66&amp;CHAR(10)&amp;"["&amp;'L2-B TS1-Submission'!B66&amp;" · "&amp;'L2-B TS1-Submission'!G66&amp;"]"</f>
        <v/>
      </c>
      <c r="C289" s="240">
        <f>IF('L2-B TS1-Submission'!I66=0,"Info only",IF('L2-B TS1-Submission'!H66="Yes","★ CRITICAL"&amp;CHAR(10),IF('L2-B TS1-Submission'!H66="★ subs","★ critical sub-items"&amp;CHAR(10),""))&amp;'L2-B TS1-Submission'!J66&amp;" · W"&amp;'L2-B TS1-Submission'!I66)</f>
        <v/>
      </c>
      <c r="D289" s="226">
        <f>IF('L2-B TS1-Submission'!I66=0,"— Not scored",IF('L2-B TS1-Submission'!J66="Tier",IF('L2-B TS1-Submission'!M66="Fully integrated","✓ FULLY INTEGRATED",IF('L2-B TS1-Submission'!M66="Not Met","✗ NOT MET",IF('L2-B TS1-Submission'!M66="Not Tested","○ NOT TESTED","◐ "&amp;UPPER('L2-B TS1-Submission'!M66)))),IF('L2-B TS1-Submission'!M66="Met","✓ MET",IF('L2-B TS1-Submission'!M66="Not Met","✗ NOT MET",IF('L2-B TS1-Submission'!M66="N/A","— N/A",IF('L2-B TS1-Submission'!M66="Counted",IF(AND('L2-B TS1-Submission'!N66&gt;=1,'L2-B TS1-Submission'!S66=0),"✓ MET",IF('L2-B TS1-Submission'!J66="All-or-nothing","✗ NOT MET",IF('L2-B TS1-Submission'!S66=1,"✗ NOT MET (★)","◐ PARTIAL")))&amp;CHAR(10)&amp;"("&amp;'L2-B TS1-Submission'!L66&amp;" of "&amp;'L2-B TS1-Submission'!K66&amp;")","○ NOT TESTED"))))))</f>
        <v/>
      </c>
      <c r="E289" s="241">
        <f>IF('L2-B TS1-Submission'!N66="","—",'L2-B TS1-Submission'!N66)</f>
        <v/>
      </c>
      <c r="F289" s="223">
        <f>'L2-B TS1-Submission'!O66&amp;IF('L2-B TS1-Submission'!P66&lt;&gt;"",CHAR(10)&amp;"Notes: "&amp;'L2-B TS1-Submission'!P66,"")</f>
        <v/>
      </c>
    </row>
    <row r="290" ht="40" customHeight="1" s="125">
      <c r="A290" s="242" t="n"/>
      <c r="B290" s="243">
        <f>"Developer's Guide: "&amp;IFERROR(LEFT('L2-B TS1-Submission'!D66,FIND(CHAR(10)&amp;CHAR(10)&amp;"Purpose:",'L2-B TS1-Submission'!D66)-1),'L2-B TS1-Submission'!D66)</f>
        <v/>
      </c>
      <c r="C290" s="243">
        <f>"Validator's Guide: "&amp;'L2-B TS1-Submission'!E66&amp;CHAR(10)&amp;"Evidence: "&amp;'L2-B TS1-Submission'!F66</f>
        <v/>
      </c>
      <c r="D290" s="203" t="n"/>
      <c r="E290" s="203" t="n"/>
      <c r="F290" s="204" t="n"/>
    </row>
    <row r="291" ht="69" customHeight="1" s="125">
      <c r="A291" s="238">
        <f>'L2-B TS1-Submission'!A67</f>
        <v/>
      </c>
      <c r="B291" s="239">
        <f>'L2-B TS1-Submission'!C67&amp;CHAR(10)&amp;"["&amp;'L2-B TS1-Submission'!B67&amp;" · "&amp;'L2-B TS1-Submission'!G67&amp;"]"</f>
        <v/>
      </c>
      <c r="C291" s="240">
        <f>IF('L2-B TS1-Submission'!I67=0,"Info only",IF('L2-B TS1-Submission'!H67="Yes","★ CRITICAL"&amp;CHAR(10),IF('L2-B TS1-Submission'!H67="★ subs","★ critical sub-items"&amp;CHAR(10),""))&amp;'L2-B TS1-Submission'!J67&amp;" · W"&amp;'L2-B TS1-Submission'!I67)</f>
        <v/>
      </c>
      <c r="D291" s="226">
        <f>IF('L2-B TS1-Submission'!I67=0,"— Not scored",IF('L2-B TS1-Submission'!J67="Tier",IF('L2-B TS1-Submission'!M67="Fully integrated","✓ FULLY INTEGRATED",IF('L2-B TS1-Submission'!M67="Not Met","✗ NOT MET",IF('L2-B TS1-Submission'!M67="Not Tested","○ NOT TESTED","◐ "&amp;UPPER('L2-B TS1-Submission'!M67)))),IF('L2-B TS1-Submission'!M67="Met","✓ MET",IF('L2-B TS1-Submission'!M67="Not Met","✗ NOT MET",IF('L2-B TS1-Submission'!M67="N/A","— N/A",IF('L2-B TS1-Submission'!M67="Counted",IF(AND('L2-B TS1-Submission'!N67&gt;=1,'L2-B TS1-Submission'!S67=0),"✓ MET",IF('L2-B TS1-Submission'!J67="All-or-nothing","✗ NOT MET",IF('L2-B TS1-Submission'!S67=1,"✗ NOT MET (★)","◐ PARTIAL")))&amp;CHAR(10)&amp;"("&amp;'L2-B TS1-Submission'!L67&amp;" of "&amp;'L2-B TS1-Submission'!K67&amp;")","○ NOT TESTED"))))))</f>
        <v/>
      </c>
      <c r="E291" s="241">
        <f>IF('L2-B TS1-Submission'!N67="","—",'L2-B TS1-Submission'!N67)</f>
        <v/>
      </c>
      <c r="F291" s="223">
        <f>'L2-B TS1-Submission'!O67&amp;IF('L2-B TS1-Submission'!P67&lt;&gt;"",CHAR(10)&amp;"Notes: "&amp;'L2-B TS1-Submission'!P67,"")</f>
        <v/>
      </c>
    </row>
    <row r="292" ht="160" customHeight="1" s="125">
      <c r="A292" s="242" t="n"/>
      <c r="B292" s="243">
        <f>"Developer's Guide: "&amp;IFERROR(LEFT('L2-B TS1-Submission'!D67,FIND(CHAR(10)&amp;CHAR(10)&amp;"Purpose:",'L2-B TS1-Submission'!D67)-1),'L2-B TS1-Submission'!D67)</f>
        <v/>
      </c>
      <c r="C292" s="243">
        <f>"Validator's Guide: "&amp;'L2-B TS1-Submission'!E67&amp;CHAR(10)&amp;"Evidence: "&amp;'L2-B TS1-Submission'!F67</f>
        <v/>
      </c>
      <c r="D292" s="203" t="n"/>
      <c r="E292" s="203" t="n"/>
      <c r="F292" s="204" t="n"/>
    </row>
    <row r="293" ht="29" customHeight="1" s="125">
      <c r="A293" s="244">
        <f>'L2-B TS1-Submission'!A68</f>
        <v/>
      </c>
      <c r="B293" s="245">
        <f>"   ↳  "&amp;IF('L2-B TS1-Submission'!H68="Yes","★ ","")&amp;'L2-B TS1-Submission'!C68</f>
        <v/>
      </c>
      <c r="C293" s="204" t="n"/>
      <c r="D293" s="240">
        <f>IF('L2-B TS1-Submission'!M68="Met","✓ Met",IF('L2-B TS1-Submission'!M68="Not Met","✗ Not met",IF('L2-B TS1-Submission'!M68="N/A","— N/A","○ Not tested")))</f>
        <v/>
      </c>
      <c r="E293" s="245" t="n"/>
      <c r="F293" s="245">
        <f>IF('L2-B TS1-Submission'!P68&lt;&gt;"",'L2-B TS1-Submission'!P68,"")</f>
        <v/>
      </c>
    </row>
    <row r="294" ht="29" customHeight="1" s="125">
      <c r="A294" s="244">
        <f>'L2-B TS1-Submission'!A69</f>
        <v/>
      </c>
      <c r="B294" s="245">
        <f>"   ↳  "&amp;IF('L2-B TS1-Submission'!H69="Yes","★ ","")&amp;'L2-B TS1-Submission'!C69</f>
        <v/>
      </c>
      <c r="C294" s="204" t="n"/>
      <c r="D294" s="240">
        <f>IF('L2-B TS1-Submission'!M69="Met","✓ Met",IF('L2-B TS1-Submission'!M69="Not Met","✗ Not met",IF('L2-B TS1-Submission'!M69="N/A","— N/A","○ Not tested")))</f>
        <v/>
      </c>
      <c r="E294" s="245" t="n"/>
      <c r="F294" s="245">
        <f>IF('L2-B TS1-Submission'!P69&lt;&gt;"",'L2-B TS1-Submission'!P69,"")</f>
        <v/>
      </c>
    </row>
    <row r="295" ht="29" customHeight="1" s="125">
      <c r="A295" s="244">
        <f>'L2-B TS1-Submission'!A70</f>
        <v/>
      </c>
      <c r="B295" s="245">
        <f>"   ↳  "&amp;IF('L2-B TS1-Submission'!H70="Yes","★ ","")&amp;'L2-B TS1-Submission'!C70</f>
        <v/>
      </c>
      <c r="C295" s="204" t="n"/>
      <c r="D295" s="240">
        <f>IF('L2-B TS1-Submission'!M70="Met","✓ Met",IF('L2-B TS1-Submission'!M70="Not Met","✗ Not met",IF('L2-B TS1-Submission'!M70="N/A","— N/A","○ Not tested")))</f>
        <v/>
      </c>
      <c r="E295" s="245" t="n"/>
      <c r="F295" s="245">
        <f>IF('L2-B TS1-Submission'!P70&lt;&gt;"",'L2-B TS1-Submission'!P70,"")</f>
        <v/>
      </c>
    </row>
    <row r="296" ht="43" customHeight="1" s="125">
      <c r="A296" s="238">
        <f>'L2-B TS1-Submission'!A71</f>
        <v/>
      </c>
      <c r="B296" s="239">
        <f>'L2-B TS1-Submission'!C71&amp;CHAR(10)&amp;"["&amp;'L2-B TS1-Submission'!B71&amp;" · "&amp;'L2-B TS1-Submission'!G71&amp;"]"</f>
        <v/>
      </c>
      <c r="C296" s="240">
        <f>IF('L2-B TS1-Submission'!I71=0,"Info only",IF('L2-B TS1-Submission'!H71="Yes","★ CRITICAL"&amp;CHAR(10),IF('L2-B TS1-Submission'!H71="★ subs","★ critical sub-items"&amp;CHAR(10),""))&amp;'L2-B TS1-Submission'!J71&amp;" · W"&amp;'L2-B TS1-Submission'!I71)</f>
        <v/>
      </c>
      <c r="D296" s="226">
        <f>IF('L2-B TS1-Submission'!I71=0,"— Not scored",IF('L2-B TS1-Submission'!J71="Tier",IF('L2-B TS1-Submission'!M71="Fully integrated","✓ FULLY INTEGRATED",IF('L2-B TS1-Submission'!M71="Not Met","✗ NOT MET",IF('L2-B TS1-Submission'!M71="Not Tested","○ NOT TESTED","◐ "&amp;UPPER('L2-B TS1-Submission'!M71)))),IF('L2-B TS1-Submission'!M71="Met","✓ MET",IF('L2-B TS1-Submission'!M71="Not Met","✗ NOT MET",IF('L2-B TS1-Submission'!M71="N/A","— N/A",IF('L2-B TS1-Submission'!M71="Counted",IF(AND('L2-B TS1-Submission'!N71&gt;=1,'L2-B TS1-Submission'!S71=0),"✓ MET",IF('L2-B TS1-Submission'!J71="All-or-nothing","✗ NOT MET",IF('L2-B TS1-Submission'!S71=1,"✗ NOT MET (★)","◐ PARTIAL")))&amp;CHAR(10)&amp;"("&amp;'L2-B TS1-Submission'!L71&amp;" of "&amp;'L2-B TS1-Submission'!K71&amp;")","○ NOT TESTED"))))))</f>
        <v/>
      </c>
      <c r="E296" s="241">
        <f>IF('L2-B TS1-Submission'!N71="","—",'L2-B TS1-Submission'!N71)</f>
        <v/>
      </c>
      <c r="F296" s="223">
        <f>'L2-B TS1-Submission'!O71&amp;IF('L2-B TS1-Submission'!P71&lt;&gt;"",CHAR(10)&amp;"Notes: "&amp;'L2-B TS1-Submission'!P71,"")</f>
        <v/>
      </c>
    </row>
    <row r="297" ht="124" customHeight="1" s="125">
      <c r="A297" s="242" t="n"/>
      <c r="B297" s="243">
        <f>"Developer's Guide: "&amp;IFERROR(LEFT('L2-B TS1-Submission'!D71,FIND(CHAR(10)&amp;CHAR(10)&amp;"Purpose:",'L2-B TS1-Submission'!D71)-1),'L2-B TS1-Submission'!D71)</f>
        <v/>
      </c>
      <c r="C297" s="243">
        <f>"Validator's Guide: "&amp;'L2-B TS1-Submission'!E71&amp;CHAR(10)&amp;"Evidence: "&amp;'L2-B TS1-Submission'!F71</f>
        <v/>
      </c>
      <c r="D297" s="203" t="n"/>
      <c r="E297" s="203" t="n"/>
      <c r="F297" s="204" t="n"/>
    </row>
    <row r="298" ht="43" customHeight="1" s="125">
      <c r="A298" s="238">
        <f>'L2-B TS1-Submission'!A72</f>
        <v/>
      </c>
      <c r="B298" s="239">
        <f>'L2-B TS1-Submission'!C72&amp;CHAR(10)&amp;"["&amp;'L2-B TS1-Submission'!B72&amp;" · "&amp;'L2-B TS1-Submission'!G72&amp;"]"</f>
        <v/>
      </c>
      <c r="C298" s="240">
        <f>IF('L2-B TS1-Submission'!I72=0,"Info only",IF('L2-B TS1-Submission'!H72="Yes","★ CRITICAL"&amp;CHAR(10),IF('L2-B TS1-Submission'!H72="★ subs","★ critical sub-items"&amp;CHAR(10),""))&amp;'L2-B TS1-Submission'!J72&amp;" · W"&amp;'L2-B TS1-Submission'!I72)</f>
        <v/>
      </c>
      <c r="D298" s="226">
        <f>IF('L2-B TS1-Submission'!I72=0,"— Not scored",IF('L2-B TS1-Submission'!J72="Tier",IF('L2-B TS1-Submission'!M72="Fully integrated","✓ FULLY INTEGRATED",IF('L2-B TS1-Submission'!M72="Not Met","✗ NOT MET",IF('L2-B TS1-Submission'!M72="Not Tested","○ NOT TESTED","◐ "&amp;UPPER('L2-B TS1-Submission'!M72)))),IF('L2-B TS1-Submission'!M72="Met","✓ MET",IF('L2-B TS1-Submission'!M72="Not Met","✗ NOT MET",IF('L2-B TS1-Submission'!M72="N/A","— N/A",IF('L2-B TS1-Submission'!M72="Counted",IF(AND('L2-B TS1-Submission'!N72&gt;=1,'L2-B TS1-Submission'!S72=0),"✓ MET",IF('L2-B TS1-Submission'!J72="All-or-nothing","✗ NOT MET",IF('L2-B TS1-Submission'!S72=1,"✗ NOT MET (★)","◐ PARTIAL")))&amp;CHAR(10)&amp;"("&amp;'L2-B TS1-Submission'!L72&amp;" of "&amp;'L2-B TS1-Submission'!K72&amp;")","○ NOT TESTED"))))))</f>
        <v/>
      </c>
      <c r="E298" s="241">
        <f>IF('L2-B TS1-Submission'!N72="","—",'L2-B TS1-Submission'!N72)</f>
        <v/>
      </c>
      <c r="F298" s="223">
        <f>'L2-B TS1-Submission'!O72&amp;IF('L2-B TS1-Submission'!P72&lt;&gt;"",CHAR(10)&amp;"Notes: "&amp;'L2-B TS1-Submission'!P72,"")</f>
        <v/>
      </c>
    </row>
    <row r="299" ht="64" customHeight="1" s="125">
      <c r="A299" s="242" t="n"/>
      <c r="B299" s="243">
        <f>"Developer's Guide: "&amp;IFERROR(LEFT('L2-B TS1-Submission'!D72,FIND(CHAR(10)&amp;CHAR(10)&amp;"Purpose:",'L2-B TS1-Submission'!D72)-1),'L2-B TS1-Submission'!D72)</f>
        <v/>
      </c>
      <c r="C299" s="243">
        <f>"Validator's Guide: "&amp;'L2-B TS1-Submission'!E72&amp;CHAR(10)&amp;"Evidence: "&amp;'L2-B TS1-Submission'!F72</f>
        <v/>
      </c>
      <c r="D299" s="203" t="n"/>
      <c r="E299" s="203" t="n"/>
      <c r="F299" s="204" t="n"/>
    </row>
    <row r="300" ht="43" customHeight="1" s="125">
      <c r="A300" s="238">
        <f>'L2-B TS1-Submission'!A73</f>
        <v/>
      </c>
      <c r="B300" s="239">
        <f>'L2-B TS1-Submission'!C73&amp;CHAR(10)&amp;"["&amp;'L2-B TS1-Submission'!B73&amp;" · "&amp;'L2-B TS1-Submission'!G73&amp;"]"</f>
        <v/>
      </c>
      <c r="C300" s="240">
        <f>IF('L2-B TS1-Submission'!I73=0,"Info only",IF('L2-B TS1-Submission'!H73="Yes","★ CRITICAL"&amp;CHAR(10),IF('L2-B TS1-Submission'!H73="★ subs","★ critical sub-items"&amp;CHAR(10),""))&amp;'L2-B TS1-Submission'!J73&amp;" · W"&amp;'L2-B TS1-Submission'!I73)</f>
        <v/>
      </c>
      <c r="D300" s="226">
        <f>IF('L2-B TS1-Submission'!I73=0,"— Not scored",IF('L2-B TS1-Submission'!J73="Tier",IF('L2-B TS1-Submission'!M73="Fully integrated","✓ FULLY INTEGRATED",IF('L2-B TS1-Submission'!M73="Not Met","✗ NOT MET",IF('L2-B TS1-Submission'!M73="Not Tested","○ NOT TESTED","◐ "&amp;UPPER('L2-B TS1-Submission'!M73)))),IF('L2-B TS1-Submission'!M73="Met","✓ MET",IF('L2-B TS1-Submission'!M73="Not Met","✗ NOT MET",IF('L2-B TS1-Submission'!M73="N/A","— N/A",IF('L2-B TS1-Submission'!M73="Counted",IF(AND('L2-B TS1-Submission'!N73&gt;=1,'L2-B TS1-Submission'!S73=0),"✓ MET",IF('L2-B TS1-Submission'!J73="All-or-nothing","✗ NOT MET",IF('L2-B TS1-Submission'!S73=1,"✗ NOT MET (★)","◐ PARTIAL")))&amp;CHAR(10)&amp;"("&amp;'L2-B TS1-Submission'!L73&amp;" of "&amp;'L2-B TS1-Submission'!K73&amp;")","○ NOT TESTED"))))))</f>
        <v/>
      </c>
      <c r="E300" s="241">
        <f>IF('L2-B TS1-Submission'!N73="","—",'L2-B TS1-Submission'!N73)</f>
        <v/>
      </c>
      <c r="F300" s="223">
        <f>'L2-B TS1-Submission'!O73&amp;IF('L2-B TS1-Submission'!P73&lt;&gt;"",CHAR(10)&amp;"Notes: "&amp;'L2-B TS1-Submission'!P73,"")</f>
        <v/>
      </c>
    </row>
    <row r="301" ht="88" customHeight="1" s="125">
      <c r="A301" s="242" t="n"/>
      <c r="B301" s="243">
        <f>"Developer's Guide: "&amp;IFERROR(LEFT('L2-B TS1-Submission'!D73,FIND(CHAR(10)&amp;CHAR(10)&amp;"Purpose:",'L2-B TS1-Submission'!D73)-1),'L2-B TS1-Submission'!D73)</f>
        <v/>
      </c>
      <c r="C301" s="243">
        <f>"Validator's Guide: "&amp;'L2-B TS1-Submission'!E73&amp;CHAR(10)&amp;"Evidence: "&amp;'L2-B TS1-Submission'!F73</f>
        <v/>
      </c>
      <c r="D301" s="203" t="n"/>
      <c r="E301" s="203" t="n"/>
      <c r="F301" s="204" t="n"/>
    </row>
    <row r="302" ht="16" customHeight="1" s="125">
      <c r="A302" s="244">
        <f>'L2-B TS1-Submission'!A74</f>
        <v/>
      </c>
      <c r="B302" s="245">
        <f>"   ↳  "&amp;IF('L2-B TS1-Submission'!H74="Yes","★ ","")&amp;'L2-B TS1-Submission'!C74</f>
        <v/>
      </c>
      <c r="C302" s="204" t="n"/>
      <c r="D302" s="240">
        <f>IF('L2-B TS1-Submission'!M74="Met","✓ Met",IF('L2-B TS1-Submission'!M74="Not Met","✗ Not met",IF('L2-B TS1-Submission'!M74="N/A","— N/A","○ Not tested")))</f>
        <v/>
      </c>
      <c r="E302" s="245" t="n"/>
      <c r="F302" s="245">
        <f>IF('L2-B TS1-Submission'!P74&lt;&gt;"",'L2-B TS1-Submission'!P74,"")</f>
        <v/>
      </c>
    </row>
    <row r="303" ht="16" customHeight="1" s="125">
      <c r="A303" s="244">
        <f>'L2-B TS1-Submission'!A75</f>
        <v/>
      </c>
      <c r="B303" s="245">
        <f>"   ↳  "&amp;IF('L2-B TS1-Submission'!H75="Yes","★ ","")&amp;'L2-B TS1-Submission'!C75</f>
        <v/>
      </c>
      <c r="C303" s="204" t="n"/>
      <c r="D303" s="240">
        <f>IF('L2-B TS1-Submission'!M75="Met","✓ Met",IF('L2-B TS1-Submission'!M75="Not Met","✗ Not met",IF('L2-B TS1-Submission'!M75="N/A","— N/A","○ Not tested")))</f>
        <v/>
      </c>
      <c r="E303" s="245" t="n"/>
      <c r="F303" s="245">
        <f>IF('L2-B TS1-Submission'!P75&lt;&gt;"",'L2-B TS1-Submission'!P75,"")</f>
        <v/>
      </c>
    </row>
    <row r="304" ht="29" customHeight="1" s="125">
      <c r="A304" s="244">
        <f>'L2-B TS1-Submission'!A76</f>
        <v/>
      </c>
      <c r="B304" s="245">
        <f>"   ↳  "&amp;IF('L2-B TS1-Submission'!H76="Yes","★ ","")&amp;'L2-B TS1-Submission'!C76</f>
        <v/>
      </c>
      <c r="C304" s="204" t="n"/>
      <c r="D304" s="240">
        <f>IF('L2-B TS1-Submission'!M76="Met","✓ Met",IF('L2-B TS1-Submission'!M76="Not Met","✗ Not met",IF('L2-B TS1-Submission'!M76="N/A","— N/A","○ Not tested")))</f>
        <v/>
      </c>
      <c r="E304" s="245" t="n"/>
      <c r="F304" s="245">
        <f>IF('L2-B TS1-Submission'!P76&lt;&gt;"",'L2-B TS1-Submission'!P76,"")</f>
        <v/>
      </c>
    </row>
    <row r="305" ht="16" customHeight="1" s="125">
      <c r="A305" s="244">
        <f>'L2-B TS1-Submission'!A77</f>
        <v/>
      </c>
      <c r="B305" s="245">
        <f>"   ↳  "&amp;IF('L2-B TS1-Submission'!H77="Yes","★ ","")&amp;'L2-B TS1-Submission'!C77</f>
        <v/>
      </c>
      <c r="C305" s="204" t="n"/>
      <c r="D305" s="240">
        <f>IF('L2-B TS1-Submission'!M77="Met","✓ Met",IF('L2-B TS1-Submission'!M77="Not Met","✗ Not met",IF('L2-B TS1-Submission'!M77="N/A","— N/A","○ Not tested")))</f>
        <v/>
      </c>
      <c r="E305" s="245" t="n"/>
      <c r="F305" s="245">
        <f>IF('L2-B TS1-Submission'!P77&lt;&gt;"",'L2-B TS1-Submission'!P77,"")</f>
        <v/>
      </c>
    </row>
    <row r="306" ht="29" customHeight="1" s="125">
      <c r="A306" s="244">
        <f>'L2-B TS1-Submission'!A78</f>
        <v/>
      </c>
      <c r="B306" s="245">
        <f>"   ↳  "&amp;IF('L2-B TS1-Submission'!H78="Yes","★ ","")&amp;'L2-B TS1-Submission'!C78</f>
        <v/>
      </c>
      <c r="C306" s="204" t="n"/>
      <c r="D306" s="240">
        <f>IF('L2-B TS1-Submission'!M78="Met","✓ Met",IF('L2-B TS1-Submission'!M78="Not Met","✗ Not met",IF('L2-B TS1-Submission'!M78="N/A","— N/A","○ Not tested")))</f>
        <v/>
      </c>
      <c r="E306" s="245" t="n"/>
      <c r="F306" s="245">
        <f>IF('L2-B TS1-Submission'!P78&lt;&gt;"",'L2-B TS1-Submission'!P78,"")</f>
        <v/>
      </c>
    </row>
    <row r="307" ht="29" customHeight="1" s="125">
      <c r="A307" s="244">
        <f>'L2-B TS1-Submission'!A79</f>
        <v/>
      </c>
      <c r="B307" s="245">
        <f>"   ↳  "&amp;IF('L2-B TS1-Submission'!H79="Yes","★ ","")&amp;'L2-B TS1-Submission'!C79</f>
        <v/>
      </c>
      <c r="C307" s="204" t="n"/>
      <c r="D307" s="240">
        <f>IF('L2-B TS1-Submission'!M79="Met","✓ Met",IF('L2-B TS1-Submission'!M79="Not Met","✗ Not met",IF('L2-B TS1-Submission'!M79="N/A","— N/A","○ Not tested")))</f>
        <v/>
      </c>
      <c r="E307" s="245" t="n"/>
      <c r="F307" s="245">
        <f>IF('L2-B TS1-Submission'!P79&lt;&gt;"",'L2-B TS1-Submission'!P79,"")</f>
        <v/>
      </c>
    </row>
    <row r="308" ht="16" customHeight="1" s="125">
      <c r="A308" s="244">
        <f>'L2-B TS1-Submission'!A80</f>
        <v/>
      </c>
      <c r="B308" s="245">
        <f>"   ↳  "&amp;IF('L2-B TS1-Submission'!H80="Yes","★ ","")&amp;'L2-B TS1-Submission'!C80</f>
        <v/>
      </c>
      <c r="C308" s="204" t="n"/>
      <c r="D308" s="240">
        <f>IF('L2-B TS1-Submission'!M80="Met","✓ Met",IF('L2-B TS1-Submission'!M80="Not Met","✗ Not met",IF('L2-B TS1-Submission'!M80="N/A","— N/A","○ Not tested")))</f>
        <v/>
      </c>
      <c r="E308" s="245" t="n"/>
      <c r="F308" s="245">
        <f>IF('L2-B TS1-Submission'!P80&lt;&gt;"",'L2-B TS1-Submission'!P80,"")</f>
        <v/>
      </c>
    </row>
    <row r="309" ht="16" customHeight="1" s="125">
      <c r="A309" s="244">
        <f>'L2-B TS1-Submission'!A81</f>
        <v/>
      </c>
      <c r="B309" s="245">
        <f>"   ↳  "&amp;IF('L2-B TS1-Submission'!H81="Yes","★ ","")&amp;'L2-B TS1-Submission'!C81</f>
        <v/>
      </c>
      <c r="C309" s="204" t="n"/>
      <c r="D309" s="240">
        <f>IF('L2-B TS1-Submission'!M81="Met","✓ Met",IF('L2-B TS1-Submission'!M81="Not Met","✗ Not met",IF('L2-B TS1-Submission'!M81="N/A","— N/A","○ Not tested")))</f>
        <v/>
      </c>
      <c r="E309" s="245" t="n"/>
      <c r="F309" s="245">
        <f>IF('L2-B TS1-Submission'!P81&lt;&gt;"",'L2-B TS1-Submission'!P81,"")</f>
        <v/>
      </c>
    </row>
    <row r="310" ht="16" customHeight="1" s="125">
      <c r="A310" s="244">
        <f>'L2-B TS1-Submission'!A82</f>
        <v/>
      </c>
      <c r="B310" s="245">
        <f>"   ↳  "&amp;IF('L2-B TS1-Submission'!H82="Yes","★ ","")&amp;'L2-B TS1-Submission'!C82</f>
        <v/>
      </c>
      <c r="C310" s="204" t="n"/>
      <c r="D310" s="240">
        <f>IF('L2-B TS1-Submission'!M82="Met","✓ Met",IF('L2-B TS1-Submission'!M82="Not Met","✗ Not met",IF('L2-B TS1-Submission'!M82="N/A","— N/A","○ Not tested")))</f>
        <v/>
      </c>
      <c r="E310" s="245" t="n"/>
      <c r="F310" s="245">
        <f>IF('L2-B TS1-Submission'!P82&lt;&gt;"",'L2-B TS1-Submission'!P82,"")</f>
        <v/>
      </c>
    </row>
    <row r="311" ht="29" customHeight="1" s="125">
      <c r="A311" s="244">
        <f>'L2-B TS1-Submission'!A83</f>
        <v/>
      </c>
      <c r="B311" s="245">
        <f>"   ↳  "&amp;IF('L2-B TS1-Submission'!H83="Yes","★ ","")&amp;'L2-B TS1-Submission'!C83</f>
        <v/>
      </c>
      <c r="C311" s="204" t="n"/>
      <c r="D311" s="240">
        <f>IF('L2-B TS1-Submission'!M83="Met","✓ Met",IF('L2-B TS1-Submission'!M83="Not Met","✗ Not met",IF('L2-B TS1-Submission'!M83="N/A","— N/A","○ Not tested")))</f>
        <v/>
      </c>
      <c r="E311" s="245" t="n"/>
      <c r="F311" s="245">
        <f>IF('L2-B TS1-Submission'!P83&lt;&gt;"",'L2-B TS1-Submission'!P83,"")</f>
        <v/>
      </c>
    </row>
    <row r="312" ht="29" customHeight="1" s="125">
      <c r="A312" s="244">
        <f>'L2-B TS1-Submission'!A84</f>
        <v/>
      </c>
      <c r="B312" s="245">
        <f>"   ↳  "&amp;IF('L2-B TS1-Submission'!H84="Yes","★ ","")&amp;'L2-B TS1-Submission'!C84</f>
        <v/>
      </c>
      <c r="C312" s="204" t="n"/>
      <c r="D312" s="240">
        <f>IF('L2-B TS1-Submission'!M84="Met","✓ Met",IF('L2-B TS1-Submission'!M84="Not Met","✗ Not met",IF('L2-B TS1-Submission'!M84="N/A","— N/A","○ Not tested")))</f>
        <v/>
      </c>
      <c r="E312" s="245" t="n"/>
      <c r="F312" s="245">
        <f>IF('L2-B TS1-Submission'!P84&lt;&gt;"",'L2-B TS1-Submission'!P84,"")</f>
        <v/>
      </c>
    </row>
    <row r="313" ht="16" customHeight="1" s="125">
      <c r="A313" s="244">
        <f>'L2-B TS1-Submission'!A85</f>
        <v/>
      </c>
      <c r="B313" s="245">
        <f>"   ↳  "&amp;IF('L2-B TS1-Submission'!H85="Yes","★ ","")&amp;'L2-B TS1-Submission'!C85</f>
        <v/>
      </c>
      <c r="C313" s="204" t="n"/>
      <c r="D313" s="240">
        <f>IF('L2-B TS1-Submission'!M85="Met","✓ Met",IF('L2-B TS1-Submission'!M85="Not Met","✗ Not met",IF('L2-B TS1-Submission'!M85="N/A","— N/A","○ Not tested")))</f>
        <v/>
      </c>
      <c r="E313" s="245" t="n"/>
      <c r="F313" s="245">
        <f>IF('L2-B TS1-Submission'!P85&lt;&gt;"",'L2-B TS1-Submission'!P85,"")</f>
        <v/>
      </c>
    </row>
    <row r="314" ht="16" customHeight="1" s="125">
      <c r="A314" s="244">
        <f>'L2-B TS1-Submission'!A86</f>
        <v/>
      </c>
      <c r="B314" s="245">
        <f>"   ↳  "&amp;IF('L2-B TS1-Submission'!H86="Yes","★ ","")&amp;'L2-B TS1-Submission'!C86</f>
        <v/>
      </c>
      <c r="C314" s="204" t="n"/>
      <c r="D314" s="240">
        <f>IF('L2-B TS1-Submission'!M86="Met","✓ Met",IF('L2-B TS1-Submission'!M86="Not Met","✗ Not met",IF('L2-B TS1-Submission'!M86="N/A","— N/A","○ Not tested")))</f>
        <v/>
      </c>
      <c r="E314" s="245" t="n"/>
      <c r="F314" s="245">
        <f>IF('L2-B TS1-Submission'!P86&lt;&gt;"",'L2-B TS1-Submission'!P86,"")</f>
        <v/>
      </c>
    </row>
    <row r="315" ht="56" customHeight="1" s="125">
      <c r="A315" s="238">
        <f>'L2-B TS1-Submission'!A87</f>
        <v/>
      </c>
      <c r="B315" s="239">
        <f>'L2-B TS1-Submission'!C87&amp;CHAR(10)&amp;"["&amp;'L2-B TS1-Submission'!B87&amp;" · "&amp;'L2-B TS1-Submission'!G87&amp;"]"</f>
        <v/>
      </c>
      <c r="C315" s="240">
        <f>IF('L2-B TS1-Submission'!I87=0,"Info only",IF('L2-B TS1-Submission'!H87="Yes","★ CRITICAL"&amp;CHAR(10),IF('L2-B TS1-Submission'!H87="★ subs","★ critical sub-items"&amp;CHAR(10),""))&amp;'L2-B TS1-Submission'!J87&amp;" · W"&amp;'L2-B TS1-Submission'!I87)</f>
        <v/>
      </c>
      <c r="D315" s="226">
        <f>IF('L2-B TS1-Submission'!I87=0,"— Not scored",IF('L2-B TS1-Submission'!J87="Tier",IF('L2-B TS1-Submission'!M87="Fully integrated","✓ FULLY INTEGRATED",IF('L2-B TS1-Submission'!M87="Not Met","✗ NOT MET",IF('L2-B TS1-Submission'!M87="Not Tested","○ NOT TESTED","◐ "&amp;UPPER('L2-B TS1-Submission'!M87)))),IF('L2-B TS1-Submission'!M87="Met","✓ MET",IF('L2-B TS1-Submission'!M87="Not Met","✗ NOT MET",IF('L2-B TS1-Submission'!M87="N/A","— N/A",IF('L2-B TS1-Submission'!M87="Counted",IF(AND('L2-B TS1-Submission'!N87&gt;=1,'L2-B TS1-Submission'!S87=0),"✓ MET",IF('L2-B TS1-Submission'!J87="All-or-nothing","✗ NOT MET",IF('L2-B TS1-Submission'!S87=1,"✗ NOT MET (★)","◐ PARTIAL")))&amp;CHAR(10)&amp;"("&amp;'L2-B TS1-Submission'!L87&amp;" of "&amp;'L2-B TS1-Submission'!K87&amp;")","○ NOT TESTED"))))))</f>
        <v/>
      </c>
      <c r="E315" s="241">
        <f>IF('L2-B TS1-Submission'!N87="","—",'L2-B TS1-Submission'!N87)</f>
        <v/>
      </c>
      <c r="F315" s="223">
        <f>'L2-B TS1-Submission'!O87&amp;IF('L2-B TS1-Submission'!P87&lt;&gt;"",CHAR(10)&amp;"Notes: "&amp;'L2-B TS1-Submission'!P87,"")</f>
        <v/>
      </c>
    </row>
    <row r="316" ht="124" customHeight="1" s="125">
      <c r="A316" s="242" t="n"/>
      <c r="B316" s="243">
        <f>"Developer's Guide: "&amp;IFERROR(LEFT('L2-B TS1-Submission'!D87,FIND(CHAR(10)&amp;CHAR(10)&amp;"Purpose:",'L2-B TS1-Submission'!D87)-1),'L2-B TS1-Submission'!D87)</f>
        <v/>
      </c>
      <c r="C316" s="243">
        <f>"Validator's Guide: "&amp;'L2-B TS1-Submission'!E87&amp;CHAR(10)&amp;"Evidence: "&amp;'L2-B TS1-Submission'!F87</f>
        <v/>
      </c>
      <c r="D316" s="203" t="n"/>
      <c r="E316" s="203" t="n"/>
      <c r="F316" s="204" t="n"/>
    </row>
    <row r="317" ht="15" customHeight="1" s="125">
      <c r="A317" s="236" t="inlineStr">
        <is>
          <t>LEVEL 2C — TS2 EREFERRAL RETRIEVAL</t>
        </is>
      </c>
      <c r="B317" s="203" t="n"/>
      <c r="C317" s="203" t="n"/>
      <c r="D317" s="203" t="n"/>
      <c r="E317" s="203" t="n"/>
      <c r="F317" s="204" t="n"/>
    </row>
    <row r="318" ht="13.5" customHeight="1" s="125">
      <c r="A318" s="237">
        <f>"Score: "&amp;TEXT('L2-C TS2-Retrieval'!D4,"0.0%")&amp;"  ·  Threshold: "&amp;TEXT('L2-C TS2-Retrieval'!D5,"0%")&amp;"  ·  Critical not met: "&amp;'L2-C TS2-Retrieval'!D6&amp;"  ·  Not tested: "&amp;'L2-C TS2-Retrieval'!F4&amp;" of "&amp;'L2-C TS2-Retrieval'!F7&amp;"  ·  Status: "&amp;'L2-C TS2-Retrieval'!F6</f>
        <v/>
      </c>
      <c r="B318" s="203" t="n"/>
      <c r="C318" s="203" t="n"/>
      <c r="D318" s="203" t="n"/>
      <c r="E318" s="203" t="n"/>
      <c r="F318" s="204" t="n"/>
    </row>
    <row r="319" ht="56" customHeight="1" s="125">
      <c r="A319" s="238">
        <f>'L2-C TS2-Retrieval'!A10</f>
        <v/>
      </c>
      <c r="B319" s="239">
        <f>'L2-C TS2-Retrieval'!C10&amp;CHAR(10)&amp;"["&amp;'L2-C TS2-Retrieval'!B10&amp;" · "&amp;'L2-C TS2-Retrieval'!G10&amp;"]"</f>
        <v/>
      </c>
      <c r="C319" s="240">
        <f>IF('L2-C TS2-Retrieval'!I10=0,"Info only",IF('L2-C TS2-Retrieval'!H10="Yes","★ CRITICAL"&amp;CHAR(10),IF('L2-C TS2-Retrieval'!H10="★ subs","★ critical sub-items"&amp;CHAR(10),""))&amp;'L2-C TS2-Retrieval'!J10&amp;" · W"&amp;'L2-C TS2-Retrieval'!I10)</f>
        <v/>
      </c>
      <c r="D319" s="226">
        <f>IF('L2-C TS2-Retrieval'!I10=0,"— Not scored",IF('L2-C TS2-Retrieval'!J10="Tier",IF('L2-C TS2-Retrieval'!M10="Fully integrated","✓ FULLY INTEGRATED",IF('L2-C TS2-Retrieval'!M10="Not Met","✗ NOT MET",IF('L2-C TS2-Retrieval'!M10="Not Tested","○ NOT TESTED","◐ "&amp;UPPER('L2-C TS2-Retrieval'!M10)))),IF('L2-C TS2-Retrieval'!M10="Met","✓ MET",IF('L2-C TS2-Retrieval'!M10="Not Met","✗ NOT MET",IF('L2-C TS2-Retrieval'!M10="N/A","— N/A",IF('L2-C TS2-Retrieval'!M10="Counted",IF(AND('L2-C TS2-Retrieval'!N10&gt;=1,'L2-C TS2-Retrieval'!S10=0),"✓ MET",IF('L2-C TS2-Retrieval'!J10="All-or-nothing","✗ NOT MET",IF('L2-C TS2-Retrieval'!S10=1,"✗ NOT MET (★)","◐ PARTIAL")))&amp;CHAR(10)&amp;"("&amp;'L2-C TS2-Retrieval'!L10&amp;" of "&amp;'L2-C TS2-Retrieval'!K10&amp;")","○ NOT TESTED"))))))</f>
        <v/>
      </c>
      <c r="E319" s="241">
        <f>IF('L2-C TS2-Retrieval'!N10="","—",'L2-C TS2-Retrieval'!N10)</f>
        <v/>
      </c>
      <c r="F319" s="223">
        <f>'L2-C TS2-Retrieval'!O10&amp;IF('L2-C TS2-Retrieval'!P10&lt;&gt;"",CHAR(10)&amp;"Notes: "&amp;'L2-C TS2-Retrieval'!P10,"")</f>
        <v/>
      </c>
    </row>
    <row r="320" ht="100" customHeight="1" s="125">
      <c r="A320" s="242" t="n"/>
      <c r="B320" s="243">
        <f>"Developer's Guide: "&amp;IFERROR(LEFT('L2-C TS2-Retrieval'!D10,FIND(CHAR(10)&amp;CHAR(10)&amp;"Purpose:",'L2-C TS2-Retrieval'!D10)-1),'L2-C TS2-Retrieval'!D10)</f>
        <v/>
      </c>
      <c r="C320" s="243">
        <f>"Validator's Guide: "&amp;'L2-C TS2-Retrieval'!E10&amp;CHAR(10)&amp;"Evidence: "&amp;'L2-C TS2-Retrieval'!F10</f>
        <v/>
      </c>
      <c r="D320" s="203" t="n"/>
      <c r="E320" s="203" t="n"/>
      <c r="F320" s="204" t="n"/>
    </row>
    <row r="321" ht="43" customHeight="1" s="125">
      <c r="A321" s="238">
        <f>'L2-C TS2-Retrieval'!A11</f>
        <v/>
      </c>
      <c r="B321" s="239">
        <f>'L2-C TS2-Retrieval'!C11&amp;CHAR(10)&amp;"["&amp;'L2-C TS2-Retrieval'!B11&amp;" · "&amp;'L2-C TS2-Retrieval'!G11&amp;"]"</f>
        <v/>
      </c>
      <c r="C321" s="240">
        <f>IF('L2-C TS2-Retrieval'!I11=0,"Info only",IF('L2-C TS2-Retrieval'!H11="Yes","★ CRITICAL"&amp;CHAR(10),IF('L2-C TS2-Retrieval'!H11="★ subs","★ critical sub-items"&amp;CHAR(10),""))&amp;'L2-C TS2-Retrieval'!J11&amp;" · W"&amp;'L2-C TS2-Retrieval'!I11)</f>
        <v/>
      </c>
      <c r="D321" s="226">
        <f>IF('L2-C TS2-Retrieval'!I11=0,"— Not scored",IF('L2-C TS2-Retrieval'!J11="Tier",IF('L2-C TS2-Retrieval'!M11="Fully integrated","✓ FULLY INTEGRATED",IF('L2-C TS2-Retrieval'!M11="Not Met","✗ NOT MET",IF('L2-C TS2-Retrieval'!M11="Not Tested","○ NOT TESTED","◐ "&amp;UPPER('L2-C TS2-Retrieval'!M11)))),IF('L2-C TS2-Retrieval'!M11="Met","✓ MET",IF('L2-C TS2-Retrieval'!M11="Not Met","✗ NOT MET",IF('L2-C TS2-Retrieval'!M11="N/A","— N/A",IF('L2-C TS2-Retrieval'!M11="Counted",IF(AND('L2-C TS2-Retrieval'!N11&gt;=1,'L2-C TS2-Retrieval'!S11=0),"✓ MET",IF('L2-C TS2-Retrieval'!J11="All-or-nothing","✗ NOT MET",IF('L2-C TS2-Retrieval'!S11=1,"✗ NOT MET (★)","◐ PARTIAL")))&amp;CHAR(10)&amp;"("&amp;'L2-C TS2-Retrieval'!L11&amp;" of "&amp;'L2-C TS2-Retrieval'!K11&amp;")","○ NOT TESTED"))))))</f>
        <v/>
      </c>
      <c r="E321" s="241">
        <f>IF('L2-C TS2-Retrieval'!N11="","—",'L2-C TS2-Retrieval'!N11)</f>
        <v/>
      </c>
      <c r="F321" s="223">
        <f>'L2-C TS2-Retrieval'!O11&amp;IF('L2-C TS2-Retrieval'!P11&lt;&gt;"",CHAR(10)&amp;"Notes: "&amp;'L2-C TS2-Retrieval'!P11,"")</f>
        <v/>
      </c>
    </row>
    <row r="322" ht="196" customHeight="1" s="125">
      <c r="A322" s="242" t="n"/>
      <c r="B322" s="243">
        <f>"Developer's Guide: "&amp;IFERROR(LEFT('L2-C TS2-Retrieval'!D11,FIND(CHAR(10)&amp;CHAR(10)&amp;"Purpose:",'L2-C TS2-Retrieval'!D11)-1),'L2-C TS2-Retrieval'!D11)</f>
        <v/>
      </c>
      <c r="C322" s="243">
        <f>"Validator's Guide: "&amp;'L2-C TS2-Retrieval'!E11&amp;CHAR(10)&amp;"Evidence: "&amp;'L2-C TS2-Retrieval'!F11</f>
        <v/>
      </c>
      <c r="D322" s="203" t="n"/>
      <c r="E322" s="203" t="n"/>
      <c r="F322" s="204" t="n"/>
    </row>
    <row r="323" ht="16" customHeight="1" s="125">
      <c r="A323" s="244">
        <f>'L2-C TS2-Retrieval'!A12</f>
        <v/>
      </c>
      <c r="B323" s="245">
        <f>"   ↳  "&amp;IF('L2-C TS2-Retrieval'!H12="Yes","★ ","")&amp;'L2-C TS2-Retrieval'!C12</f>
        <v/>
      </c>
      <c r="C323" s="204" t="n"/>
      <c r="D323" s="240">
        <f>IF('L2-C TS2-Retrieval'!M12="Met","✓ Met",IF('L2-C TS2-Retrieval'!M12="Not Met","✗ Not met",IF('L2-C TS2-Retrieval'!M12="N/A","— N/A","○ Not tested")))</f>
        <v/>
      </c>
      <c r="E323" s="245" t="n"/>
      <c r="F323" s="245">
        <f>IF('L2-C TS2-Retrieval'!P12&lt;&gt;"",'L2-C TS2-Retrieval'!P12,"")</f>
        <v/>
      </c>
    </row>
    <row r="324" ht="16" customHeight="1" s="125">
      <c r="A324" s="244">
        <f>'L2-C TS2-Retrieval'!A13</f>
        <v/>
      </c>
      <c r="B324" s="245">
        <f>"   ↳  "&amp;IF('L2-C TS2-Retrieval'!H13="Yes","★ ","")&amp;'L2-C TS2-Retrieval'!C13</f>
        <v/>
      </c>
      <c r="C324" s="204" t="n"/>
      <c r="D324" s="240">
        <f>IF('L2-C TS2-Retrieval'!M13="Met","✓ Met",IF('L2-C TS2-Retrieval'!M13="Not Met","✗ Not met",IF('L2-C TS2-Retrieval'!M13="N/A","— N/A","○ Not tested")))</f>
        <v/>
      </c>
      <c r="E324" s="245" t="n"/>
      <c r="F324" s="245">
        <f>IF('L2-C TS2-Retrieval'!P13&lt;&gt;"",'L2-C TS2-Retrieval'!P13,"")</f>
        <v/>
      </c>
    </row>
    <row r="325" ht="16" customHeight="1" s="125">
      <c r="A325" s="244">
        <f>'L2-C TS2-Retrieval'!A14</f>
        <v/>
      </c>
      <c r="B325" s="245">
        <f>"   ↳  "&amp;IF('L2-C TS2-Retrieval'!H14="Yes","★ ","")&amp;'L2-C TS2-Retrieval'!C14</f>
        <v/>
      </c>
      <c r="C325" s="204" t="n"/>
      <c r="D325" s="240">
        <f>IF('L2-C TS2-Retrieval'!M14="Met","✓ Met",IF('L2-C TS2-Retrieval'!M14="Not Met","✗ Not met",IF('L2-C TS2-Retrieval'!M14="N/A","— N/A","○ Not tested")))</f>
        <v/>
      </c>
      <c r="E325" s="245" t="n"/>
      <c r="F325" s="245">
        <f>IF('L2-C TS2-Retrieval'!P14&lt;&gt;"",'L2-C TS2-Retrieval'!P14,"")</f>
        <v/>
      </c>
    </row>
    <row r="326" ht="16" customHeight="1" s="125">
      <c r="A326" s="244">
        <f>'L2-C TS2-Retrieval'!A15</f>
        <v/>
      </c>
      <c r="B326" s="245">
        <f>"   ↳  "&amp;IF('L2-C TS2-Retrieval'!H15="Yes","★ ","")&amp;'L2-C TS2-Retrieval'!C15</f>
        <v/>
      </c>
      <c r="C326" s="204" t="n"/>
      <c r="D326" s="240">
        <f>IF('L2-C TS2-Retrieval'!M15="Met","✓ Met",IF('L2-C TS2-Retrieval'!M15="Not Met","✗ Not met",IF('L2-C TS2-Retrieval'!M15="N/A","— N/A","○ Not tested")))</f>
        <v/>
      </c>
      <c r="E326" s="245" t="n"/>
      <c r="F326" s="245">
        <f>IF('L2-C TS2-Retrieval'!P15&lt;&gt;"",'L2-C TS2-Retrieval'!P15,"")</f>
        <v/>
      </c>
    </row>
    <row r="327" ht="16" customHeight="1" s="125">
      <c r="A327" s="244">
        <f>'L2-C TS2-Retrieval'!A16</f>
        <v/>
      </c>
      <c r="B327" s="245">
        <f>"   ↳  "&amp;IF('L2-C TS2-Retrieval'!H16="Yes","★ ","")&amp;'L2-C TS2-Retrieval'!C16</f>
        <v/>
      </c>
      <c r="C327" s="204" t="n"/>
      <c r="D327" s="240">
        <f>IF('L2-C TS2-Retrieval'!M16="Met","✓ Met",IF('L2-C TS2-Retrieval'!M16="Not Met","✗ Not met",IF('L2-C TS2-Retrieval'!M16="N/A","— N/A","○ Not tested")))</f>
        <v/>
      </c>
      <c r="E327" s="245" t="n"/>
      <c r="F327" s="245">
        <f>IF('L2-C TS2-Retrieval'!P16&lt;&gt;"",'L2-C TS2-Retrieval'!P16,"")</f>
        <v/>
      </c>
    </row>
    <row r="328" ht="16" customHeight="1" s="125">
      <c r="A328" s="244">
        <f>'L2-C TS2-Retrieval'!A17</f>
        <v/>
      </c>
      <c r="B328" s="245">
        <f>"   ↳  "&amp;IF('L2-C TS2-Retrieval'!H17="Yes","★ ","")&amp;'L2-C TS2-Retrieval'!C17</f>
        <v/>
      </c>
      <c r="C328" s="204" t="n"/>
      <c r="D328" s="240">
        <f>IF('L2-C TS2-Retrieval'!M17="Met","✓ Met",IF('L2-C TS2-Retrieval'!M17="Not Met","✗ Not met",IF('L2-C TS2-Retrieval'!M17="N/A","— N/A","○ Not tested")))</f>
        <v/>
      </c>
      <c r="E328" s="245" t="n"/>
      <c r="F328" s="245">
        <f>IF('L2-C TS2-Retrieval'!P17&lt;&gt;"",'L2-C TS2-Retrieval'!P17,"")</f>
        <v/>
      </c>
    </row>
    <row r="329" ht="16" customHeight="1" s="125">
      <c r="A329" s="244">
        <f>'L2-C TS2-Retrieval'!A18</f>
        <v/>
      </c>
      <c r="B329" s="245">
        <f>"   ↳  "&amp;IF('L2-C TS2-Retrieval'!H18="Yes","★ ","")&amp;'L2-C TS2-Retrieval'!C18</f>
        <v/>
      </c>
      <c r="C329" s="204" t="n"/>
      <c r="D329" s="240">
        <f>IF('L2-C TS2-Retrieval'!M18="Met","✓ Met",IF('L2-C TS2-Retrieval'!M18="Not Met","✗ Not met",IF('L2-C TS2-Retrieval'!M18="N/A","— N/A","○ Not tested")))</f>
        <v/>
      </c>
      <c r="E329" s="245" t="n"/>
      <c r="F329" s="245">
        <f>IF('L2-C TS2-Retrieval'!P18&lt;&gt;"",'L2-C TS2-Retrieval'!P18,"")</f>
        <v/>
      </c>
    </row>
    <row r="330" ht="56" customHeight="1" s="125">
      <c r="A330" s="238">
        <f>'L2-C TS2-Retrieval'!A19</f>
        <v/>
      </c>
      <c r="B330" s="239">
        <f>'L2-C TS2-Retrieval'!C19&amp;CHAR(10)&amp;"["&amp;'L2-C TS2-Retrieval'!B19&amp;" · "&amp;'L2-C TS2-Retrieval'!G19&amp;"]"</f>
        <v/>
      </c>
      <c r="C330" s="240">
        <f>IF('L2-C TS2-Retrieval'!I19=0,"Info only",IF('L2-C TS2-Retrieval'!H19="Yes","★ CRITICAL"&amp;CHAR(10),IF('L2-C TS2-Retrieval'!H19="★ subs","★ critical sub-items"&amp;CHAR(10),""))&amp;'L2-C TS2-Retrieval'!J19&amp;" · W"&amp;'L2-C TS2-Retrieval'!I19)</f>
        <v/>
      </c>
      <c r="D330" s="226">
        <f>IF('L2-C TS2-Retrieval'!I19=0,"— Not scored",IF('L2-C TS2-Retrieval'!J19="Tier",IF('L2-C TS2-Retrieval'!M19="Fully integrated","✓ FULLY INTEGRATED",IF('L2-C TS2-Retrieval'!M19="Not Met","✗ NOT MET",IF('L2-C TS2-Retrieval'!M19="Not Tested","○ NOT TESTED","◐ "&amp;UPPER('L2-C TS2-Retrieval'!M19)))),IF('L2-C TS2-Retrieval'!M19="Met","✓ MET",IF('L2-C TS2-Retrieval'!M19="Not Met","✗ NOT MET",IF('L2-C TS2-Retrieval'!M19="N/A","— N/A",IF('L2-C TS2-Retrieval'!M19="Counted",IF(AND('L2-C TS2-Retrieval'!N19&gt;=1,'L2-C TS2-Retrieval'!S19=0),"✓ MET",IF('L2-C TS2-Retrieval'!J19="All-or-nothing","✗ NOT MET",IF('L2-C TS2-Retrieval'!S19=1,"✗ NOT MET (★)","◐ PARTIAL")))&amp;CHAR(10)&amp;"("&amp;'L2-C TS2-Retrieval'!L19&amp;" of "&amp;'L2-C TS2-Retrieval'!K19&amp;")","○ NOT TESTED"))))))</f>
        <v/>
      </c>
      <c r="E330" s="241">
        <f>IF('L2-C TS2-Retrieval'!N19="","—",'L2-C TS2-Retrieval'!N19)</f>
        <v/>
      </c>
      <c r="F330" s="223">
        <f>'L2-C TS2-Retrieval'!O19&amp;IF('L2-C TS2-Retrieval'!P19&lt;&gt;"",CHAR(10)&amp;"Notes: "&amp;'L2-C TS2-Retrieval'!P19,"")</f>
        <v/>
      </c>
    </row>
    <row r="331" ht="196" customHeight="1" s="125">
      <c r="A331" s="242" t="n"/>
      <c r="B331" s="243">
        <f>"Developer's Guide: "&amp;IFERROR(LEFT('L2-C TS2-Retrieval'!D19,FIND(CHAR(10)&amp;CHAR(10)&amp;"Purpose:",'L2-C TS2-Retrieval'!D19)-1),'L2-C TS2-Retrieval'!D19)</f>
        <v/>
      </c>
      <c r="C331" s="243">
        <f>"Validator's Guide: "&amp;'L2-C TS2-Retrieval'!E19&amp;CHAR(10)&amp;"Evidence: "&amp;'L2-C TS2-Retrieval'!F19</f>
        <v/>
      </c>
      <c r="D331" s="203" t="n"/>
      <c r="E331" s="203" t="n"/>
      <c r="F331" s="204" t="n"/>
    </row>
    <row r="332" ht="16" customHeight="1" s="125">
      <c r="A332" s="244">
        <f>'L2-C TS2-Retrieval'!A20</f>
        <v/>
      </c>
      <c r="B332" s="245">
        <f>"   ↳  "&amp;IF('L2-C TS2-Retrieval'!H20="Yes","★ ","")&amp;'L2-C TS2-Retrieval'!C20</f>
        <v/>
      </c>
      <c r="C332" s="204" t="n"/>
      <c r="D332" s="240">
        <f>IF('L2-C TS2-Retrieval'!M20="Met","✓ Met",IF('L2-C TS2-Retrieval'!M20="Not Met","✗ Not met",IF('L2-C TS2-Retrieval'!M20="N/A","— N/A","○ Not tested")))</f>
        <v/>
      </c>
      <c r="E332" s="245" t="n"/>
      <c r="F332" s="245">
        <f>IF('L2-C TS2-Retrieval'!P20&lt;&gt;"",'L2-C TS2-Retrieval'!P20,"")</f>
        <v/>
      </c>
    </row>
    <row r="333" ht="16" customHeight="1" s="125">
      <c r="A333" s="244">
        <f>'L2-C TS2-Retrieval'!A21</f>
        <v/>
      </c>
      <c r="B333" s="245">
        <f>"   ↳  "&amp;IF('L2-C TS2-Retrieval'!H21="Yes","★ ","")&amp;'L2-C TS2-Retrieval'!C21</f>
        <v/>
      </c>
      <c r="C333" s="204" t="n"/>
      <c r="D333" s="240">
        <f>IF('L2-C TS2-Retrieval'!M21="Met","✓ Met",IF('L2-C TS2-Retrieval'!M21="Not Met","✗ Not met",IF('L2-C TS2-Retrieval'!M21="N/A","— N/A","○ Not tested")))</f>
        <v/>
      </c>
      <c r="E333" s="245" t="n"/>
      <c r="F333" s="245">
        <f>IF('L2-C TS2-Retrieval'!P21&lt;&gt;"",'L2-C TS2-Retrieval'!P21,"")</f>
        <v/>
      </c>
    </row>
    <row r="334" ht="29" customHeight="1" s="125">
      <c r="A334" s="244">
        <f>'L2-C TS2-Retrieval'!A22</f>
        <v/>
      </c>
      <c r="B334" s="245">
        <f>"   ↳  "&amp;IF('L2-C TS2-Retrieval'!H22="Yes","★ ","")&amp;'L2-C TS2-Retrieval'!C22</f>
        <v/>
      </c>
      <c r="C334" s="204" t="n"/>
      <c r="D334" s="240">
        <f>IF('L2-C TS2-Retrieval'!M22="Met","✓ Met",IF('L2-C TS2-Retrieval'!M22="Not Met","✗ Not met",IF('L2-C TS2-Retrieval'!M22="N/A","— N/A","○ Not tested")))</f>
        <v/>
      </c>
      <c r="E334" s="245" t="n"/>
      <c r="F334" s="245">
        <f>IF('L2-C TS2-Retrieval'!P22&lt;&gt;"",'L2-C TS2-Retrieval'!P22,"")</f>
        <v/>
      </c>
    </row>
    <row r="335" ht="43" customHeight="1" s="125">
      <c r="A335" s="238">
        <f>'L2-C TS2-Retrieval'!A23</f>
        <v/>
      </c>
      <c r="B335" s="239">
        <f>'L2-C TS2-Retrieval'!C23&amp;CHAR(10)&amp;"["&amp;'L2-C TS2-Retrieval'!B23&amp;" · "&amp;'L2-C TS2-Retrieval'!G23&amp;"]"</f>
        <v/>
      </c>
      <c r="C335" s="240">
        <f>IF('L2-C TS2-Retrieval'!I23=0,"Info only",IF('L2-C TS2-Retrieval'!H23="Yes","★ CRITICAL"&amp;CHAR(10),IF('L2-C TS2-Retrieval'!H23="★ subs","★ critical sub-items"&amp;CHAR(10),""))&amp;'L2-C TS2-Retrieval'!J23&amp;" · W"&amp;'L2-C TS2-Retrieval'!I23)</f>
        <v/>
      </c>
      <c r="D335" s="226">
        <f>IF('L2-C TS2-Retrieval'!I23=0,"— Not scored",IF('L2-C TS2-Retrieval'!J23="Tier",IF('L2-C TS2-Retrieval'!M23="Fully integrated","✓ FULLY INTEGRATED",IF('L2-C TS2-Retrieval'!M23="Not Met","✗ NOT MET",IF('L2-C TS2-Retrieval'!M23="Not Tested","○ NOT TESTED","◐ "&amp;UPPER('L2-C TS2-Retrieval'!M23)))),IF('L2-C TS2-Retrieval'!M23="Met","✓ MET",IF('L2-C TS2-Retrieval'!M23="Not Met","✗ NOT MET",IF('L2-C TS2-Retrieval'!M23="N/A","— N/A",IF('L2-C TS2-Retrieval'!M23="Counted",IF(AND('L2-C TS2-Retrieval'!N23&gt;=1,'L2-C TS2-Retrieval'!S23=0),"✓ MET",IF('L2-C TS2-Retrieval'!J23="All-or-nothing","✗ NOT MET",IF('L2-C TS2-Retrieval'!S23=1,"✗ NOT MET (★)","◐ PARTIAL")))&amp;CHAR(10)&amp;"("&amp;'L2-C TS2-Retrieval'!L23&amp;" of "&amp;'L2-C TS2-Retrieval'!K23&amp;")","○ NOT TESTED"))))))</f>
        <v/>
      </c>
      <c r="E335" s="241">
        <f>IF('L2-C TS2-Retrieval'!N23="","—",'L2-C TS2-Retrieval'!N23)</f>
        <v/>
      </c>
      <c r="F335" s="223">
        <f>'L2-C TS2-Retrieval'!O23&amp;IF('L2-C TS2-Retrieval'!P23&lt;&gt;"",CHAR(10)&amp;"Notes: "&amp;'L2-C TS2-Retrieval'!P23,"")</f>
        <v/>
      </c>
    </row>
    <row r="336" ht="196" customHeight="1" s="125">
      <c r="A336" s="242" t="n"/>
      <c r="B336" s="243">
        <f>"Developer's Guide: "&amp;IFERROR(LEFT('L2-C TS2-Retrieval'!D23,FIND(CHAR(10)&amp;CHAR(10)&amp;"Purpose:",'L2-C TS2-Retrieval'!D23)-1),'L2-C TS2-Retrieval'!D23)</f>
        <v/>
      </c>
      <c r="C336" s="243">
        <f>"Validator's Guide: "&amp;'L2-C TS2-Retrieval'!E23&amp;CHAR(10)&amp;"Evidence: "&amp;'L2-C TS2-Retrieval'!F23</f>
        <v/>
      </c>
      <c r="D336" s="203" t="n"/>
      <c r="E336" s="203" t="n"/>
      <c r="F336" s="204" t="n"/>
    </row>
    <row r="337" ht="16" customHeight="1" s="125">
      <c r="A337" s="244">
        <f>'L2-C TS2-Retrieval'!A24</f>
        <v/>
      </c>
      <c r="B337" s="245">
        <f>"   ↳  "&amp;IF('L2-C TS2-Retrieval'!H24="Yes","★ ","")&amp;'L2-C TS2-Retrieval'!C24</f>
        <v/>
      </c>
      <c r="C337" s="204" t="n"/>
      <c r="D337" s="240">
        <f>IF('L2-C TS2-Retrieval'!M24="Met","✓ Met",IF('L2-C TS2-Retrieval'!M24="Not Met","✗ Not met",IF('L2-C TS2-Retrieval'!M24="N/A","— N/A","○ Not tested")))</f>
        <v/>
      </c>
      <c r="E337" s="245" t="n"/>
      <c r="F337" s="245">
        <f>IF('L2-C TS2-Retrieval'!P24&lt;&gt;"",'L2-C TS2-Retrieval'!P24,"")</f>
        <v/>
      </c>
    </row>
    <row r="338" ht="16" customHeight="1" s="125">
      <c r="A338" s="244">
        <f>'L2-C TS2-Retrieval'!A25</f>
        <v/>
      </c>
      <c r="B338" s="245">
        <f>"   ↳  "&amp;IF('L2-C TS2-Retrieval'!H25="Yes","★ ","")&amp;'L2-C TS2-Retrieval'!C25</f>
        <v/>
      </c>
      <c r="C338" s="204" t="n"/>
      <c r="D338" s="240">
        <f>IF('L2-C TS2-Retrieval'!M25="Met","✓ Met",IF('L2-C TS2-Retrieval'!M25="Not Met","✗ Not met",IF('L2-C TS2-Retrieval'!M25="N/A","— N/A","○ Not tested")))</f>
        <v/>
      </c>
      <c r="E338" s="245" t="n"/>
      <c r="F338" s="245">
        <f>IF('L2-C TS2-Retrieval'!P25&lt;&gt;"",'L2-C TS2-Retrieval'!P25,"")</f>
        <v/>
      </c>
    </row>
    <row r="339" ht="16" customHeight="1" s="125">
      <c r="A339" s="244">
        <f>'L2-C TS2-Retrieval'!A26</f>
        <v/>
      </c>
      <c r="B339" s="245">
        <f>"   ↳  "&amp;IF('L2-C TS2-Retrieval'!H26="Yes","★ ","")&amp;'L2-C TS2-Retrieval'!C26</f>
        <v/>
      </c>
      <c r="C339" s="204" t="n"/>
      <c r="D339" s="240">
        <f>IF('L2-C TS2-Retrieval'!M26="Met","✓ Met",IF('L2-C TS2-Retrieval'!M26="Not Met","✗ Not met",IF('L2-C TS2-Retrieval'!M26="N/A","— N/A","○ Not tested")))</f>
        <v/>
      </c>
      <c r="E339" s="245" t="n"/>
      <c r="F339" s="245">
        <f>IF('L2-C TS2-Retrieval'!P26&lt;&gt;"",'L2-C TS2-Retrieval'!P26,"")</f>
        <v/>
      </c>
    </row>
    <row r="340" ht="16" customHeight="1" s="125">
      <c r="A340" s="244">
        <f>'L2-C TS2-Retrieval'!A27</f>
        <v/>
      </c>
      <c r="B340" s="245">
        <f>"   ↳  "&amp;IF('L2-C TS2-Retrieval'!H27="Yes","★ ","")&amp;'L2-C TS2-Retrieval'!C27</f>
        <v/>
      </c>
      <c r="C340" s="204" t="n"/>
      <c r="D340" s="240">
        <f>IF('L2-C TS2-Retrieval'!M27="Met","✓ Met",IF('L2-C TS2-Retrieval'!M27="Not Met","✗ Not met",IF('L2-C TS2-Retrieval'!M27="N/A","— N/A","○ Not tested")))</f>
        <v/>
      </c>
      <c r="E340" s="245" t="n"/>
      <c r="F340" s="245">
        <f>IF('L2-C TS2-Retrieval'!P27&lt;&gt;"",'L2-C TS2-Retrieval'!P27,"")</f>
        <v/>
      </c>
    </row>
    <row r="341" ht="29" customHeight="1" s="125">
      <c r="A341" s="244">
        <f>'L2-C TS2-Retrieval'!A28</f>
        <v/>
      </c>
      <c r="B341" s="245">
        <f>"   ↳  "&amp;IF('L2-C TS2-Retrieval'!H28="Yes","★ ","")&amp;'L2-C TS2-Retrieval'!C28</f>
        <v/>
      </c>
      <c r="C341" s="204" t="n"/>
      <c r="D341" s="240">
        <f>IF('L2-C TS2-Retrieval'!M28="Met","✓ Met",IF('L2-C TS2-Retrieval'!M28="Not Met","✗ Not met",IF('L2-C TS2-Retrieval'!M28="N/A","— N/A","○ Not tested")))</f>
        <v/>
      </c>
      <c r="E341" s="245" t="n"/>
      <c r="F341" s="245">
        <f>IF('L2-C TS2-Retrieval'!P28&lt;&gt;"",'L2-C TS2-Retrieval'!P28,"")</f>
        <v/>
      </c>
    </row>
    <row r="342" ht="16" customHeight="1" s="125">
      <c r="A342" s="244">
        <f>'L2-C TS2-Retrieval'!A29</f>
        <v/>
      </c>
      <c r="B342" s="245">
        <f>"   ↳  "&amp;IF('L2-C TS2-Retrieval'!H29="Yes","★ ","")&amp;'L2-C TS2-Retrieval'!C29</f>
        <v/>
      </c>
      <c r="C342" s="204" t="n"/>
      <c r="D342" s="240">
        <f>IF('L2-C TS2-Retrieval'!M29="Met","✓ Met",IF('L2-C TS2-Retrieval'!M29="Not Met","✗ Not met",IF('L2-C TS2-Retrieval'!M29="N/A","— N/A","○ Not tested")))</f>
        <v/>
      </c>
      <c r="E342" s="245" t="n"/>
      <c r="F342" s="245">
        <f>IF('L2-C TS2-Retrieval'!P29&lt;&gt;"",'L2-C TS2-Retrieval'!P29,"")</f>
        <v/>
      </c>
    </row>
    <row r="343" ht="16" customHeight="1" s="125">
      <c r="A343" s="244">
        <f>'L2-C TS2-Retrieval'!A30</f>
        <v/>
      </c>
      <c r="B343" s="245">
        <f>"   ↳  "&amp;IF('L2-C TS2-Retrieval'!H30="Yes","★ ","")&amp;'L2-C TS2-Retrieval'!C30</f>
        <v/>
      </c>
      <c r="C343" s="204" t="n"/>
      <c r="D343" s="240">
        <f>IF('L2-C TS2-Retrieval'!M30="Met","✓ Met",IF('L2-C TS2-Retrieval'!M30="Not Met","✗ Not met",IF('L2-C TS2-Retrieval'!M30="N/A","— N/A","○ Not tested")))</f>
        <v/>
      </c>
      <c r="E343" s="245" t="n"/>
      <c r="F343" s="245">
        <f>IF('L2-C TS2-Retrieval'!P30&lt;&gt;"",'L2-C TS2-Retrieval'!P30,"")</f>
        <v/>
      </c>
    </row>
    <row r="344" ht="16" customHeight="1" s="125">
      <c r="A344" s="244">
        <f>'L2-C TS2-Retrieval'!A31</f>
        <v/>
      </c>
      <c r="B344" s="245">
        <f>"   ↳  "&amp;IF('L2-C TS2-Retrieval'!H31="Yes","★ ","")&amp;'L2-C TS2-Retrieval'!C31</f>
        <v/>
      </c>
      <c r="C344" s="204" t="n"/>
      <c r="D344" s="240">
        <f>IF('L2-C TS2-Retrieval'!M31="Met","✓ Met",IF('L2-C TS2-Retrieval'!M31="Not Met","✗ Not met",IF('L2-C TS2-Retrieval'!M31="N/A","— N/A","○ Not tested")))</f>
        <v/>
      </c>
      <c r="E344" s="245" t="n"/>
      <c r="F344" s="245">
        <f>IF('L2-C TS2-Retrieval'!P31&lt;&gt;"",'L2-C TS2-Retrieval'!P31,"")</f>
        <v/>
      </c>
    </row>
    <row r="345" ht="16" customHeight="1" s="125">
      <c r="A345" s="244">
        <f>'L2-C TS2-Retrieval'!A32</f>
        <v/>
      </c>
      <c r="B345" s="245">
        <f>"   ↳  "&amp;IF('L2-C TS2-Retrieval'!H32="Yes","★ ","")&amp;'L2-C TS2-Retrieval'!C32</f>
        <v/>
      </c>
      <c r="C345" s="204" t="n"/>
      <c r="D345" s="240">
        <f>IF('L2-C TS2-Retrieval'!M32="Met","✓ Met",IF('L2-C TS2-Retrieval'!M32="Not Met","✗ Not met",IF('L2-C TS2-Retrieval'!M32="N/A","— N/A","○ Not tested")))</f>
        <v/>
      </c>
      <c r="E345" s="245" t="n"/>
      <c r="F345" s="245">
        <f>IF('L2-C TS2-Retrieval'!P32&lt;&gt;"",'L2-C TS2-Retrieval'!P32,"")</f>
        <v/>
      </c>
    </row>
    <row r="346" ht="16" customHeight="1" s="125">
      <c r="A346" s="244">
        <f>'L2-C TS2-Retrieval'!A33</f>
        <v/>
      </c>
      <c r="B346" s="245">
        <f>"   ↳  "&amp;IF('L2-C TS2-Retrieval'!H33="Yes","★ ","")&amp;'L2-C TS2-Retrieval'!C33</f>
        <v/>
      </c>
      <c r="C346" s="204" t="n"/>
      <c r="D346" s="240">
        <f>IF('L2-C TS2-Retrieval'!M33="Met","✓ Met",IF('L2-C TS2-Retrieval'!M33="Not Met","✗ Not met",IF('L2-C TS2-Retrieval'!M33="N/A","— N/A","○ Not tested")))</f>
        <v/>
      </c>
      <c r="E346" s="245" t="n"/>
      <c r="F346" s="245">
        <f>IF('L2-C TS2-Retrieval'!P33&lt;&gt;"",'L2-C TS2-Retrieval'!P33,"")</f>
        <v/>
      </c>
    </row>
    <row r="347" ht="16" customHeight="1" s="125">
      <c r="A347" s="244">
        <f>'L2-C TS2-Retrieval'!A34</f>
        <v/>
      </c>
      <c r="B347" s="245">
        <f>"   ↳  "&amp;IF('L2-C TS2-Retrieval'!H34="Yes","★ ","")&amp;'L2-C TS2-Retrieval'!C34</f>
        <v/>
      </c>
      <c r="C347" s="204" t="n"/>
      <c r="D347" s="240">
        <f>IF('L2-C TS2-Retrieval'!M34="Met","✓ Met",IF('L2-C TS2-Retrieval'!M34="Not Met","✗ Not met",IF('L2-C TS2-Retrieval'!M34="N/A","— N/A","○ Not tested")))</f>
        <v/>
      </c>
      <c r="E347" s="245" t="n"/>
      <c r="F347" s="245">
        <f>IF('L2-C TS2-Retrieval'!P34&lt;&gt;"",'L2-C TS2-Retrieval'!P34,"")</f>
        <v/>
      </c>
    </row>
    <row r="348" ht="43" customHeight="1" s="125">
      <c r="A348" s="238">
        <f>'L2-C TS2-Retrieval'!A35</f>
        <v/>
      </c>
      <c r="B348" s="239">
        <f>'L2-C TS2-Retrieval'!C35&amp;CHAR(10)&amp;"["&amp;'L2-C TS2-Retrieval'!B35&amp;" · "&amp;'L2-C TS2-Retrieval'!G35&amp;"]"</f>
        <v/>
      </c>
      <c r="C348" s="240">
        <f>IF('L2-C TS2-Retrieval'!I35=0,"Info only",IF('L2-C TS2-Retrieval'!H35="Yes","★ CRITICAL"&amp;CHAR(10),IF('L2-C TS2-Retrieval'!H35="★ subs","★ critical sub-items"&amp;CHAR(10),""))&amp;'L2-C TS2-Retrieval'!J35&amp;" · W"&amp;'L2-C TS2-Retrieval'!I35)</f>
        <v/>
      </c>
      <c r="D348" s="226">
        <f>IF('L2-C TS2-Retrieval'!I35=0,"— Not scored",IF('L2-C TS2-Retrieval'!J35="Tier",IF('L2-C TS2-Retrieval'!M35="Fully integrated","✓ FULLY INTEGRATED",IF('L2-C TS2-Retrieval'!M35="Not Met","✗ NOT MET",IF('L2-C TS2-Retrieval'!M35="Not Tested","○ NOT TESTED","◐ "&amp;UPPER('L2-C TS2-Retrieval'!M35)))),IF('L2-C TS2-Retrieval'!M35="Met","✓ MET",IF('L2-C TS2-Retrieval'!M35="Not Met","✗ NOT MET",IF('L2-C TS2-Retrieval'!M35="N/A","— N/A",IF('L2-C TS2-Retrieval'!M35="Counted",IF(AND('L2-C TS2-Retrieval'!N35&gt;=1,'L2-C TS2-Retrieval'!S35=0),"✓ MET",IF('L2-C TS2-Retrieval'!J35="All-or-nothing","✗ NOT MET",IF('L2-C TS2-Retrieval'!S35=1,"✗ NOT MET (★)","◐ PARTIAL")))&amp;CHAR(10)&amp;"("&amp;'L2-C TS2-Retrieval'!L35&amp;" of "&amp;'L2-C TS2-Retrieval'!K35&amp;")","○ NOT TESTED"))))))</f>
        <v/>
      </c>
      <c r="E348" s="241">
        <f>IF('L2-C TS2-Retrieval'!N35="","—",'L2-C TS2-Retrieval'!N35)</f>
        <v/>
      </c>
      <c r="F348" s="223">
        <f>'L2-C TS2-Retrieval'!O35&amp;IF('L2-C TS2-Retrieval'!P35&lt;&gt;"",CHAR(10)&amp;"Notes: "&amp;'L2-C TS2-Retrieval'!P35,"")</f>
        <v/>
      </c>
    </row>
    <row r="349" ht="196" customHeight="1" s="125">
      <c r="A349" s="242" t="n"/>
      <c r="B349" s="243">
        <f>"Developer's Guide: "&amp;IFERROR(LEFT('L2-C TS2-Retrieval'!D35,FIND(CHAR(10)&amp;CHAR(10)&amp;"Purpose:",'L2-C TS2-Retrieval'!D35)-1),'L2-C TS2-Retrieval'!D35)</f>
        <v/>
      </c>
      <c r="C349" s="243">
        <f>"Validator's Guide: "&amp;'L2-C TS2-Retrieval'!E35&amp;CHAR(10)&amp;"Evidence: "&amp;'L2-C TS2-Retrieval'!F35</f>
        <v/>
      </c>
      <c r="D349" s="203" t="n"/>
      <c r="E349" s="203" t="n"/>
      <c r="F349" s="204" t="n"/>
    </row>
    <row r="350" ht="16" customHeight="1" s="125">
      <c r="A350" s="244">
        <f>'L2-C TS2-Retrieval'!A36</f>
        <v/>
      </c>
      <c r="B350" s="245">
        <f>"   ↳  "&amp;IF('L2-C TS2-Retrieval'!H36="Yes","★ ","")&amp;'L2-C TS2-Retrieval'!C36</f>
        <v/>
      </c>
      <c r="C350" s="204" t="n"/>
      <c r="D350" s="240">
        <f>IF('L2-C TS2-Retrieval'!M36="Met","✓ Met",IF('L2-C TS2-Retrieval'!M36="Not Met","✗ Not met",IF('L2-C TS2-Retrieval'!M36="N/A","— N/A","○ Not tested")))</f>
        <v/>
      </c>
      <c r="E350" s="245" t="n"/>
      <c r="F350" s="245">
        <f>IF('L2-C TS2-Retrieval'!P36&lt;&gt;"",'L2-C TS2-Retrieval'!P36,"")</f>
        <v/>
      </c>
    </row>
    <row r="351" ht="16" customHeight="1" s="125">
      <c r="A351" s="244">
        <f>'L2-C TS2-Retrieval'!A37</f>
        <v/>
      </c>
      <c r="B351" s="245">
        <f>"   ↳  "&amp;IF('L2-C TS2-Retrieval'!H37="Yes","★ ","")&amp;'L2-C TS2-Retrieval'!C37</f>
        <v/>
      </c>
      <c r="C351" s="204" t="n"/>
      <c r="D351" s="240">
        <f>IF('L2-C TS2-Retrieval'!M37="Met","✓ Met",IF('L2-C TS2-Retrieval'!M37="Not Met","✗ Not met",IF('L2-C TS2-Retrieval'!M37="N/A","— N/A","○ Not tested")))</f>
        <v/>
      </c>
      <c r="E351" s="245" t="n"/>
      <c r="F351" s="245">
        <f>IF('L2-C TS2-Retrieval'!P37&lt;&gt;"",'L2-C TS2-Retrieval'!P37,"")</f>
        <v/>
      </c>
    </row>
    <row r="352" ht="16" customHeight="1" s="125">
      <c r="A352" s="244">
        <f>'L2-C TS2-Retrieval'!A38</f>
        <v/>
      </c>
      <c r="B352" s="245">
        <f>"   ↳  "&amp;IF('L2-C TS2-Retrieval'!H38="Yes","★ ","")&amp;'L2-C TS2-Retrieval'!C38</f>
        <v/>
      </c>
      <c r="C352" s="204" t="n"/>
      <c r="D352" s="240">
        <f>IF('L2-C TS2-Retrieval'!M38="Met","✓ Met",IF('L2-C TS2-Retrieval'!M38="Not Met","✗ Not met",IF('L2-C TS2-Retrieval'!M38="N/A","— N/A","○ Not tested")))</f>
        <v/>
      </c>
      <c r="E352" s="245" t="n"/>
      <c r="F352" s="245">
        <f>IF('L2-C TS2-Retrieval'!P38&lt;&gt;"",'L2-C TS2-Retrieval'!P38,"")</f>
        <v/>
      </c>
    </row>
    <row r="353" ht="16" customHeight="1" s="125">
      <c r="A353" s="244">
        <f>'L2-C TS2-Retrieval'!A39</f>
        <v/>
      </c>
      <c r="B353" s="245">
        <f>"   ↳  "&amp;IF('L2-C TS2-Retrieval'!H39="Yes","★ ","")&amp;'L2-C TS2-Retrieval'!C39</f>
        <v/>
      </c>
      <c r="C353" s="204" t="n"/>
      <c r="D353" s="240">
        <f>IF('L2-C TS2-Retrieval'!M39="Met","✓ Met",IF('L2-C TS2-Retrieval'!M39="Not Met","✗ Not met",IF('L2-C TS2-Retrieval'!M39="N/A","— N/A","○ Not tested")))</f>
        <v/>
      </c>
      <c r="E353" s="245" t="n"/>
      <c r="F353" s="245">
        <f>IF('L2-C TS2-Retrieval'!P39&lt;&gt;"",'L2-C TS2-Retrieval'!P39,"")</f>
        <v/>
      </c>
    </row>
    <row r="354" ht="43" customHeight="1" s="125">
      <c r="A354" s="238">
        <f>'L2-C TS2-Retrieval'!A40</f>
        <v/>
      </c>
      <c r="B354" s="239">
        <f>'L2-C TS2-Retrieval'!C40&amp;CHAR(10)&amp;"["&amp;'L2-C TS2-Retrieval'!B40&amp;" · "&amp;'L2-C TS2-Retrieval'!G40&amp;"]"</f>
        <v/>
      </c>
      <c r="C354" s="240">
        <f>IF('L2-C TS2-Retrieval'!I40=0,"Info only",IF('L2-C TS2-Retrieval'!H40="Yes","★ CRITICAL"&amp;CHAR(10),IF('L2-C TS2-Retrieval'!H40="★ subs","★ critical sub-items"&amp;CHAR(10),""))&amp;'L2-C TS2-Retrieval'!J40&amp;" · W"&amp;'L2-C TS2-Retrieval'!I40)</f>
        <v/>
      </c>
      <c r="D354" s="226">
        <f>IF('L2-C TS2-Retrieval'!I40=0,"— Not scored",IF('L2-C TS2-Retrieval'!J40="Tier",IF('L2-C TS2-Retrieval'!M40="Fully integrated","✓ FULLY INTEGRATED",IF('L2-C TS2-Retrieval'!M40="Not Met","✗ NOT MET",IF('L2-C TS2-Retrieval'!M40="Not Tested","○ NOT TESTED","◐ "&amp;UPPER('L2-C TS2-Retrieval'!M40)))),IF('L2-C TS2-Retrieval'!M40="Met","✓ MET",IF('L2-C TS2-Retrieval'!M40="Not Met","✗ NOT MET",IF('L2-C TS2-Retrieval'!M40="N/A","— N/A",IF('L2-C TS2-Retrieval'!M40="Counted",IF(AND('L2-C TS2-Retrieval'!N40&gt;=1,'L2-C TS2-Retrieval'!S40=0),"✓ MET",IF('L2-C TS2-Retrieval'!J40="All-or-nothing","✗ NOT MET",IF('L2-C TS2-Retrieval'!S40=1,"✗ NOT MET (★)","◐ PARTIAL")))&amp;CHAR(10)&amp;"("&amp;'L2-C TS2-Retrieval'!L40&amp;" of "&amp;'L2-C TS2-Retrieval'!K40&amp;")","○ NOT TESTED"))))))</f>
        <v/>
      </c>
      <c r="E354" s="241">
        <f>IF('L2-C TS2-Retrieval'!N40="","—",'L2-C TS2-Retrieval'!N40)</f>
        <v/>
      </c>
      <c r="F354" s="223">
        <f>'L2-C TS2-Retrieval'!O40&amp;IF('L2-C TS2-Retrieval'!P40&lt;&gt;"",CHAR(10)&amp;"Notes: "&amp;'L2-C TS2-Retrieval'!P40,"")</f>
        <v/>
      </c>
    </row>
    <row r="355" ht="196" customHeight="1" s="125">
      <c r="A355" s="242" t="n"/>
      <c r="B355" s="243">
        <f>"Developer's Guide: "&amp;IFERROR(LEFT('L2-C TS2-Retrieval'!D40,FIND(CHAR(10)&amp;CHAR(10)&amp;"Purpose:",'L2-C TS2-Retrieval'!D40)-1),'L2-C TS2-Retrieval'!D40)</f>
        <v/>
      </c>
      <c r="C355" s="243">
        <f>"Validator's Guide: "&amp;'L2-C TS2-Retrieval'!E40&amp;CHAR(10)&amp;"Evidence: "&amp;'L2-C TS2-Retrieval'!F40</f>
        <v/>
      </c>
      <c r="D355" s="203" t="n"/>
      <c r="E355" s="203" t="n"/>
      <c r="F355" s="204" t="n"/>
    </row>
    <row r="356" ht="16" customHeight="1" s="125">
      <c r="A356" s="244">
        <f>'L2-C TS2-Retrieval'!A41</f>
        <v/>
      </c>
      <c r="B356" s="245">
        <f>"   ↳  "&amp;IF('L2-C TS2-Retrieval'!H41="Yes","★ ","")&amp;'L2-C TS2-Retrieval'!C41</f>
        <v/>
      </c>
      <c r="C356" s="204" t="n"/>
      <c r="D356" s="240">
        <f>IF('L2-C TS2-Retrieval'!M41="Met","✓ Met",IF('L2-C TS2-Retrieval'!M41="Not Met","✗ Not met",IF('L2-C TS2-Retrieval'!M41="N/A","— N/A","○ Not tested")))</f>
        <v/>
      </c>
      <c r="E356" s="245" t="n"/>
      <c r="F356" s="245">
        <f>IF('L2-C TS2-Retrieval'!P41&lt;&gt;"",'L2-C TS2-Retrieval'!P41,"")</f>
        <v/>
      </c>
    </row>
    <row r="357" ht="16" customHeight="1" s="125">
      <c r="A357" s="244">
        <f>'L2-C TS2-Retrieval'!A42</f>
        <v/>
      </c>
      <c r="B357" s="245">
        <f>"   ↳  "&amp;IF('L2-C TS2-Retrieval'!H42="Yes","★ ","")&amp;'L2-C TS2-Retrieval'!C42</f>
        <v/>
      </c>
      <c r="C357" s="204" t="n"/>
      <c r="D357" s="240">
        <f>IF('L2-C TS2-Retrieval'!M42="Met","✓ Met",IF('L2-C TS2-Retrieval'!M42="Not Met","✗ Not met",IF('L2-C TS2-Retrieval'!M42="N/A","— N/A","○ Not tested")))</f>
        <v/>
      </c>
      <c r="E357" s="245" t="n"/>
      <c r="F357" s="245">
        <f>IF('L2-C TS2-Retrieval'!P42&lt;&gt;"",'L2-C TS2-Retrieval'!P42,"")</f>
        <v/>
      </c>
    </row>
    <row r="358" ht="16" customHeight="1" s="125">
      <c r="A358" s="244">
        <f>'L2-C TS2-Retrieval'!A43</f>
        <v/>
      </c>
      <c r="B358" s="245">
        <f>"   ↳  "&amp;IF('L2-C TS2-Retrieval'!H43="Yes","★ ","")&amp;'L2-C TS2-Retrieval'!C43</f>
        <v/>
      </c>
      <c r="C358" s="204" t="n"/>
      <c r="D358" s="240">
        <f>IF('L2-C TS2-Retrieval'!M43="Met","✓ Met",IF('L2-C TS2-Retrieval'!M43="Not Met","✗ Not met",IF('L2-C TS2-Retrieval'!M43="N/A","— N/A","○ Not tested")))</f>
        <v/>
      </c>
      <c r="E358" s="245" t="n"/>
      <c r="F358" s="245">
        <f>IF('L2-C TS2-Retrieval'!P43&lt;&gt;"",'L2-C TS2-Retrieval'!P43,"")</f>
        <v/>
      </c>
    </row>
    <row r="359" ht="16" customHeight="1" s="125">
      <c r="A359" s="244">
        <f>'L2-C TS2-Retrieval'!A44</f>
        <v/>
      </c>
      <c r="B359" s="245">
        <f>"   ↳  "&amp;IF('L2-C TS2-Retrieval'!H44="Yes","★ ","")&amp;'L2-C TS2-Retrieval'!C44</f>
        <v/>
      </c>
      <c r="C359" s="204" t="n"/>
      <c r="D359" s="240">
        <f>IF('L2-C TS2-Retrieval'!M44="Met","✓ Met",IF('L2-C TS2-Retrieval'!M44="Not Met","✗ Not met",IF('L2-C TS2-Retrieval'!M44="N/A","— N/A","○ Not tested")))</f>
        <v/>
      </c>
      <c r="E359" s="245" t="n"/>
      <c r="F359" s="245">
        <f>IF('L2-C TS2-Retrieval'!P44&lt;&gt;"",'L2-C TS2-Retrieval'!P44,"")</f>
        <v/>
      </c>
    </row>
    <row r="360" ht="43" customHeight="1" s="125">
      <c r="A360" s="238">
        <f>'L2-C TS2-Retrieval'!A45</f>
        <v/>
      </c>
      <c r="B360" s="239">
        <f>'L2-C TS2-Retrieval'!C45&amp;CHAR(10)&amp;"["&amp;'L2-C TS2-Retrieval'!B45&amp;" · "&amp;'L2-C TS2-Retrieval'!G45&amp;"]"</f>
        <v/>
      </c>
      <c r="C360" s="240">
        <f>IF('L2-C TS2-Retrieval'!I45=0,"Info only",IF('L2-C TS2-Retrieval'!H45="Yes","★ CRITICAL"&amp;CHAR(10),IF('L2-C TS2-Retrieval'!H45="★ subs","★ critical sub-items"&amp;CHAR(10),""))&amp;'L2-C TS2-Retrieval'!J45&amp;" · W"&amp;'L2-C TS2-Retrieval'!I45)</f>
        <v/>
      </c>
      <c r="D360" s="226">
        <f>IF('L2-C TS2-Retrieval'!I45=0,"— Not scored",IF('L2-C TS2-Retrieval'!J45="Tier",IF('L2-C TS2-Retrieval'!M45="Fully integrated","✓ FULLY INTEGRATED",IF('L2-C TS2-Retrieval'!M45="Not Met","✗ NOT MET",IF('L2-C TS2-Retrieval'!M45="Not Tested","○ NOT TESTED","◐ "&amp;UPPER('L2-C TS2-Retrieval'!M45)))),IF('L2-C TS2-Retrieval'!M45="Met","✓ MET",IF('L2-C TS2-Retrieval'!M45="Not Met","✗ NOT MET",IF('L2-C TS2-Retrieval'!M45="N/A","— N/A",IF('L2-C TS2-Retrieval'!M45="Counted",IF(AND('L2-C TS2-Retrieval'!N45&gt;=1,'L2-C TS2-Retrieval'!S45=0),"✓ MET",IF('L2-C TS2-Retrieval'!J45="All-or-nothing","✗ NOT MET",IF('L2-C TS2-Retrieval'!S45=1,"✗ NOT MET (★)","◐ PARTIAL")))&amp;CHAR(10)&amp;"("&amp;'L2-C TS2-Retrieval'!L45&amp;" of "&amp;'L2-C TS2-Retrieval'!K45&amp;")","○ NOT TESTED"))))))</f>
        <v/>
      </c>
      <c r="E360" s="241">
        <f>IF('L2-C TS2-Retrieval'!N45="","—",'L2-C TS2-Retrieval'!N45)</f>
        <v/>
      </c>
      <c r="F360" s="223">
        <f>'L2-C TS2-Retrieval'!O45&amp;IF('L2-C TS2-Retrieval'!P45&lt;&gt;"",CHAR(10)&amp;"Notes: "&amp;'L2-C TS2-Retrieval'!P45,"")</f>
        <v/>
      </c>
    </row>
    <row r="361" ht="196" customHeight="1" s="125">
      <c r="A361" s="242" t="n"/>
      <c r="B361" s="243">
        <f>"Developer's Guide: "&amp;IFERROR(LEFT('L2-C TS2-Retrieval'!D45,FIND(CHAR(10)&amp;CHAR(10)&amp;"Purpose:",'L2-C TS2-Retrieval'!D45)-1),'L2-C TS2-Retrieval'!D45)</f>
        <v/>
      </c>
      <c r="C361" s="243">
        <f>"Validator's Guide: "&amp;'L2-C TS2-Retrieval'!E45&amp;CHAR(10)&amp;"Evidence: "&amp;'L2-C TS2-Retrieval'!F45</f>
        <v/>
      </c>
      <c r="D361" s="203" t="n"/>
      <c r="E361" s="203" t="n"/>
      <c r="F361" s="204" t="n"/>
    </row>
    <row r="362" ht="16" customHeight="1" s="125">
      <c r="A362" s="244">
        <f>'L2-C TS2-Retrieval'!A46</f>
        <v/>
      </c>
      <c r="B362" s="245">
        <f>"   ↳  "&amp;IF('L2-C TS2-Retrieval'!H46="Yes","★ ","")&amp;'L2-C TS2-Retrieval'!C46</f>
        <v/>
      </c>
      <c r="C362" s="204" t="n"/>
      <c r="D362" s="240">
        <f>IF('L2-C TS2-Retrieval'!M46="Met","✓ Met",IF('L2-C TS2-Retrieval'!M46="Not Met","✗ Not met",IF('L2-C TS2-Retrieval'!M46="N/A","— N/A","○ Not tested")))</f>
        <v/>
      </c>
      <c r="E362" s="245" t="n"/>
      <c r="F362" s="245">
        <f>IF('L2-C TS2-Retrieval'!P46&lt;&gt;"",'L2-C TS2-Retrieval'!P46,"")</f>
        <v/>
      </c>
    </row>
    <row r="363" ht="16" customHeight="1" s="125">
      <c r="A363" s="244">
        <f>'L2-C TS2-Retrieval'!A47</f>
        <v/>
      </c>
      <c r="B363" s="245">
        <f>"   ↳  "&amp;IF('L2-C TS2-Retrieval'!H47="Yes","★ ","")&amp;'L2-C TS2-Retrieval'!C47</f>
        <v/>
      </c>
      <c r="C363" s="204" t="n"/>
      <c r="D363" s="240">
        <f>IF('L2-C TS2-Retrieval'!M47="Met","✓ Met",IF('L2-C TS2-Retrieval'!M47="Not Met","✗ Not met",IF('L2-C TS2-Retrieval'!M47="N/A","— N/A","○ Not tested")))</f>
        <v/>
      </c>
      <c r="E363" s="245" t="n"/>
      <c r="F363" s="245">
        <f>IF('L2-C TS2-Retrieval'!P47&lt;&gt;"",'L2-C TS2-Retrieval'!P47,"")</f>
        <v/>
      </c>
    </row>
    <row r="364" ht="16" customHeight="1" s="125">
      <c r="A364" s="244">
        <f>'L2-C TS2-Retrieval'!A48</f>
        <v/>
      </c>
      <c r="B364" s="245">
        <f>"   ↳  "&amp;IF('L2-C TS2-Retrieval'!H48="Yes","★ ","")&amp;'L2-C TS2-Retrieval'!C48</f>
        <v/>
      </c>
      <c r="C364" s="204" t="n"/>
      <c r="D364" s="240">
        <f>IF('L2-C TS2-Retrieval'!M48="Met","✓ Met",IF('L2-C TS2-Retrieval'!M48="Not Met","✗ Not met",IF('L2-C TS2-Retrieval'!M48="N/A","— N/A","○ Not tested")))</f>
        <v/>
      </c>
      <c r="E364" s="245" t="n"/>
      <c r="F364" s="245">
        <f>IF('L2-C TS2-Retrieval'!P48&lt;&gt;"",'L2-C TS2-Retrieval'!P48,"")</f>
        <v/>
      </c>
    </row>
    <row r="365" ht="16" customHeight="1" s="125">
      <c r="A365" s="244">
        <f>'L2-C TS2-Retrieval'!A49</f>
        <v/>
      </c>
      <c r="B365" s="245">
        <f>"   ↳  "&amp;IF('L2-C TS2-Retrieval'!H49="Yes","★ ","")&amp;'L2-C TS2-Retrieval'!C49</f>
        <v/>
      </c>
      <c r="C365" s="204" t="n"/>
      <c r="D365" s="240">
        <f>IF('L2-C TS2-Retrieval'!M49="Met","✓ Met",IF('L2-C TS2-Retrieval'!M49="Not Met","✗ Not met",IF('L2-C TS2-Retrieval'!M49="N/A","— N/A","○ Not tested")))</f>
        <v/>
      </c>
      <c r="E365" s="245" t="n"/>
      <c r="F365" s="245">
        <f>IF('L2-C TS2-Retrieval'!P49&lt;&gt;"",'L2-C TS2-Retrieval'!P49,"")</f>
        <v/>
      </c>
    </row>
    <row r="366" ht="16" customHeight="1" s="125">
      <c r="A366" s="244">
        <f>'L2-C TS2-Retrieval'!A50</f>
        <v/>
      </c>
      <c r="B366" s="245">
        <f>"   ↳  "&amp;IF('L2-C TS2-Retrieval'!H50="Yes","★ ","")&amp;'L2-C TS2-Retrieval'!C50</f>
        <v/>
      </c>
      <c r="C366" s="204" t="n"/>
      <c r="D366" s="240">
        <f>IF('L2-C TS2-Retrieval'!M50="Met","✓ Met",IF('L2-C TS2-Retrieval'!M50="Not Met","✗ Not met",IF('L2-C TS2-Retrieval'!M50="N/A","— N/A","○ Not tested")))</f>
        <v/>
      </c>
      <c r="E366" s="245" t="n"/>
      <c r="F366" s="245">
        <f>IF('L2-C TS2-Retrieval'!P50&lt;&gt;"",'L2-C TS2-Retrieval'!P50,"")</f>
        <v/>
      </c>
    </row>
    <row r="367" ht="16" customHeight="1" s="125">
      <c r="A367" s="244">
        <f>'L2-C TS2-Retrieval'!A51</f>
        <v/>
      </c>
      <c r="B367" s="245">
        <f>"   ↳  "&amp;IF('L2-C TS2-Retrieval'!H51="Yes","★ ","")&amp;'L2-C TS2-Retrieval'!C51</f>
        <v/>
      </c>
      <c r="C367" s="204" t="n"/>
      <c r="D367" s="240">
        <f>IF('L2-C TS2-Retrieval'!M51="Met","✓ Met",IF('L2-C TS2-Retrieval'!M51="Not Met","✗ Not met",IF('L2-C TS2-Retrieval'!M51="N/A","— N/A","○ Not tested")))</f>
        <v/>
      </c>
      <c r="E367" s="245" t="n"/>
      <c r="F367" s="245">
        <f>IF('L2-C TS2-Retrieval'!P51&lt;&gt;"",'L2-C TS2-Retrieval'!P51,"")</f>
        <v/>
      </c>
    </row>
    <row r="368" ht="43" customHeight="1" s="125">
      <c r="A368" s="238">
        <f>'L2-C TS2-Retrieval'!A52</f>
        <v/>
      </c>
      <c r="B368" s="239">
        <f>'L2-C TS2-Retrieval'!C52&amp;CHAR(10)&amp;"["&amp;'L2-C TS2-Retrieval'!B52&amp;" · "&amp;'L2-C TS2-Retrieval'!G52&amp;"]"</f>
        <v/>
      </c>
      <c r="C368" s="240">
        <f>IF('L2-C TS2-Retrieval'!I52=0,"Info only",IF('L2-C TS2-Retrieval'!H52="Yes","★ CRITICAL"&amp;CHAR(10),IF('L2-C TS2-Retrieval'!H52="★ subs","★ critical sub-items"&amp;CHAR(10),""))&amp;'L2-C TS2-Retrieval'!J52&amp;" · W"&amp;'L2-C TS2-Retrieval'!I52)</f>
        <v/>
      </c>
      <c r="D368" s="226">
        <f>IF('L2-C TS2-Retrieval'!I52=0,"— Not scored",IF('L2-C TS2-Retrieval'!J52="Tier",IF('L2-C TS2-Retrieval'!M52="Fully integrated","✓ FULLY INTEGRATED",IF('L2-C TS2-Retrieval'!M52="Not Met","✗ NOT MET",IF('L2-C TS2-Retrieval'!M52="Not Tested","○ NOT TESTED","◐ "&amp;UPPER('L2-C TS2-Retrieval'!M52)))),IF('L2-C TS2-Retrieval'!M52="Met","✓ MET",IF('L2-C TS2-Retrieval'!M52="Not Met","✗ NOT MET",IF('L2-C TS2-Retrieval'!M52="N/A","— N/A",IF('L2-C TS2-Retrieval'!M52="Counted",IF(AND('L2-C TS2-Retrieval'!N52&gt;=1,'L2-C TS2-Retrieval'!S52=0),"✓ MET",IF('L2-C TS2-Retrieval'!J52="All-or-nothing","✗ NOT MET",IF('L2-C TS2-Retrieval'!S52=1,"✗ NOT MET (★)","◐ PARTIAL")))&amp;CHAR(10)&amp;"("&amp;'L2-C TS2-Retrieval'!L52&amp;" of "&amp;'L2-C TS2-Retrieval'!K52&amp;")","○ NOT TESTED"))))))</f>
        <v/>
      </c>
      <c r="E368" s="241">
        <f>IF('L2-C TS2-Retrieval'!N52="","—",'L2-C TS2-Retrieval'!N52)</f>
        <v/>
      </c>
      <c r="F368" s="223">
        <f>'L2-C TS2-Retrieval'!O52&amp;IF('L2-C TS2-Retrieval'!P52&lt;&gt;"",CHAR(10)&amp;"Notes: "&amp;'L2-C TS2-Retrieval'!P52,"")</f>
        <v/>
      </c>
    </row>
    <row r="369" ht="100" customHeight="1" s="125">
      <c r="A369" s="242" t="n"/>
      <c r="B369" s="243">
        <f>"Developer's Guide: "&amp;IFERROR(LEFT('L2-C TS2-Retrieval'!D52,FIND(CHAR(10)&amp;CHAR(10)&amp;"Purpose:",'L2-C TS2-Retrieval'!D52)-1),'L2-C TS2-Retrieval'!D52)</f>
        <v/>
      </c>
      <c r="C369" s="243">
        <f>"Validator's Guide: "&amp;'L2-C TS2-Retrieval'!E52&amp;CHAR(10)&amp;"Evidence: "&amp;'L2-C TS2-Retrieval'!F52</f>
        <v/>
      </c>
      <c r="D369" s="203" t="n"/>
      <c r="E369" s="203" t="n"/>
      <c r="F369" s="204" t="n"/>
    </row>
    <row r="370" ht="43" customHeight="1" s="125">
      <c r="A370" s="238">
        <f>'L2-C TS2-Retrieval'!A53</f>
        <v/>
      </c>
      <c r="B370" s="239">
        <f>'L2-C TS2-Retrieval'!C53&amp;CHAR(10)&amp;"["&amp;'L2-C TS2-Retrieval'!B53&amp;" · "&amp;'L2-C TS2-Retrieval'!G53&amp;"]"</f>
        <v/>
      </c>
      <c r="C370" s="240">
        <f>IF('L2-C TS2-Retrieval'!I53=0,"Info only",IF('L2-C TS2-Retrieval'!H53="Yes","★ CRITICAL"&amp;CHAR(10),IF('L2-C TS2-Retrieval'!H53="★ subs","★ critical sub-items"&amp;CHAR(10),""))&amp;'L2-C TS2-Retrieval'!J53&amp;" · W"&amp;'L2-C TS2-Retrieval'!I53)</f>
        <v/>
      </c>
      <c r="D370" s="226">
        <f>IF('L2-C TS2-Retrieval'!I53=0,"— Not scored",IF('L2-C TS2-Retrieval'!J53="Tier",IF('L2-C TS2-Retrieval'!M53="Fully integrated","✓ FULLY INTEGRATED",IF('L2-C TS2-Retrieval'!M53="Not Met","✗ NOT MET",IF('L2-C TS2-Retrieval'!M53="Not Tested","○ NOT TESTED","◐ "&amp;UPPER('L2-C TS2-Retrieval'!M53)))),IF('L2-C TS2-Retrieval'!M53="Met","✓ MET",IF('L2-C TS2-Retrieval'!M53="Not Met","✗ NOT MET",IF('L2-C TS2-Retrieval'!M53="N/A","— N/A",IF('L2-C TS2-Retrieval'!M53="Counted",IF(AND('L2-C TS2-Retrieval'!N53&gt;=1,'L2-C TS2-Retrieval'!S53=0),"✓ MET",IF('L2-C TS2-Retrieval'!J53="All-or-nothing","✗ NOT MET",IF('L2-C TS2-Retrieval'!S53=1,"✗ NOT MET (★)","◐ PARTIAL")))&amp;CHAR(10)&amp;"("&amp;'L2-C TS2-Retrieval'!L53&amp;" of "&amp;'L2-C TS2-Retrieval'!K53&amp;")","○ NOT TESTED"))))))</f>
        <v/>
      </c>
      <c r="E370" s="241">
        <f>IF('L2-C TS2-Retrieval'!N53="","—",'L2-C TS2-Retrieval'!N53)</f>
        <v/>
      </c>
      <c r="F370" s="223">
        <f>'L2-C TS2-Retrieval'!O53&amp;IF('L2-C TS2-Retrieval'!P53&lt;&gt;"",CHAR(10)&amp;"Notes: "&amp;'L2-C TS2-Retrieval'!P53,"")</f>
        <v/>
      </c>
    </row>
    <row r="371" ht="196" customHeight="1" s="125">
      <c r="A371" s="242" t="n"/>
      <c r="B371" s="243">
        <f>"Developer's Guide: "&amp;IFERROR(LEFT('L2-C TS2-Retrieval'!D53,FIND(CHAR(10)&amp;CHAR(10)&amp;"Purpose:",'L2-C TS2-Retrieval'!D53)-1),'L2-C TS2-Retrieval'!D53)</f>
        <v/>
      </c>
      <c r="C371" s="243">
        <f>"Validator's Guide: "&amp;'L2-C TS2-Retrieval'!E53&amp;CHAR(10)&amp;"Evidence: "&amp;'L2-C TS2-Retrieval'!F53</f>
        <v/>
      </c>
      <c r="D371" s="203" t="n"/>
      <c r="E371" s="203" t="n"/>
      <c r="F371" s="204" t="n"/>
    </row>
    <row r="372" ht="16" customHeight="1" s="125">
      <c r="A372" s="244">
        <f>'L2-C TS2-Retrieval'!A54</f>
        <v/>
      </c>
      <c r="B372" s="245">
        <f>"   ↳  "&amp;IF('L2-C TS2-Retrieval'!H54="Yes","★ ","")&amp;'L2-C TS2-Retrieval'!C54</f>
        <v/>
      </c>
      <c r="C372" s="204" t="n"/>
      <c r="D372" s="240">
        <f>IF('L2-C TS2-Retrieval'!M54="Met","✓ Met",IF('L2-C TS2-Retrieval'!M54="Not Met","✗ Not met",IF('L2-C TS2-Retrieval'!M54="N/A","— N/A","○ Not tested")))</f>
        <v/>
      </c>
      <c r="E372" s="245" t="n"/>
      <c r="F372" s="245">
        <f>IF('L2-C TS2-Retrieval'!P54&lt;&gt;"",'L2-C TS2-Retrieval'!P54,"")</f>
        <v/>
      </c>
    </row>
    <row r="373" ht="16" customHeight="1" s="125">
      <c r="A373" s="244">
        <f>'L2-C TS2-Retrieval'!A55</f>
        <v/>
      </c>
      <c r="B373" s="245">
        <f>"   ↳  "&amp;IF('L2-C TS2-Retrieval'!H55="Yes","★ ","")&amp;'L2-C TS2-Retrieval'!C55</f>
        <v/>
      </c>
      <c r="C373" s="204" t="n"/>
      <c r="D373" s="240">
        <f>IF('L2-C TS2-Retrieval'!M55="Met","✓ Met",IF('L2-C TS2-Retrieval'!M55="Not Met","✗ Not met",IF('L2-C TS2-Retrieval'!M55="N/A","— N/A","○ Not tested")))</f>
        <v/>
      </c>
      <c r="E373" s="245" t="n"/>
      <c r="F373" s="245">
        <f>IF('L2-C TS2-Retrieval'!P55&lt;&gt;"",'L2-C TS2-Retrieval'!P55,"")</f>
        <v/>
      </c>
    </row>
    <row r="374" ht="16" customHeight="1" s="125">
      <c r="A374" s="244">
        <f>'L2-C TS2-Retrieval'!A56</f>
        <v/>
      </c>
      <c r="B374" s="245">
        <f>"   ↳  "&amp;IF('L2-C TS2-Retrieval'!H56="Yes","★ ","")&amp;'L2-C TS2-Retrieval'!C56</f>
        <v/>
      </c>
      <c r="C374" s="204" t="n"/>
      <c r="D374" s="240">
        <f>IF('L2-C TS2-Retrieval'!M56="Met","✓ Met",IF('L2-C TS2-Retrieval'!M56="Not Met","✗ Not met",IF('L2-C TS2-Retrieval'!M56="N/A","— N/A","○ Not tested")))</f>
        <v/>
      </c>
      <c r="E374" s="245" t="n"/>
      <c r="F374" s="245">
        <f>IF('L2-C TS2-Retrieval'!P56&lt;&gt;"",'L2-C TS2-Retrieval'!P56,"")</f>
        <v/>
      </c>
    </row>
    <row r="375" ht="56" customHeight="1" s="125">
      <c r="A375" s="238">
        <f>'L2-C TS2-Retrieval'!A57</f>
        <v/>
      </c>
      <c r="B375" s="239">
        <f>'L2-C TS2-Retrieval'!C57&amp;CHAR(10)&amp;"["&amp;'L2-C TS2-Retrieval'!B57&amp;" · "&amp;'L2-C TS2-Retrieval'!G57&amp;"]"</f>
        <v/>
      </c>
      <c r="C375" s="240">
        <f>IF('L2-C TS2-Retrieval'!I57=0,"Info only",IF('L2-C TS2-Retrieval'!H57="Yes","★ CRITICAL"&amp;CHAR(10),IF('L2-C TS2-Retrieval'!H57="★ subs","★ critical sub-items"&amp;CHAR(10),""))&amp;'L2-C TS2-Retrieval'!J57&amp;" · W"&amp;'L2-C TS2-Retrieval'!I57)</f>
        <v/>
      </c>
      <c r="D375" s="226">
        <f>IF('L2-C TS2-Retrieval'!I57=0,"— Not scored",IF('L2-C TS2-Retrieval'!J57="Tier",IF('L2-C TS2-Retrieval'!M57="Fully integrated","✓ FULLY INTEGRATED",IF('L2-C TS2-Retrieval'!M57="Not Met","✗ NOT MET",IF('L2-C TS2-Retrieval'!M57="Not Tested","○ NOT TESTED","◐ "&amp;UPPER('L2-C TS2-Retrieval'!M57)))),IF('L2-C TS2-Retrieval'!M57="Met","✓ MET",IF('L2-C TS2-Retrieval'!M57="Not Met","✗ NOT MET",IF('L2-C TS2-Retrieval'!M57="N/A","— N/A",IF('L2-C TS2-Retrieval'!M57="Counted",IF(AND('L2-C TS2-Retrieval'!N57&gt;=1,'L2-C TS2-Retrieval'!S57=0),"✓ MET",IF('L2-C TS2-Retrieval'!J57="All-or-nothing","✗ NOT MET",IF('L2-C TS2-Retrieval'!S57=1,"✗ NOT MET (★)","◐ PARTIAL")))&amp;CHAR(10)&amp;"("&amp;'L2-C TS2-Retrieval'!L57&amp;" of "&amp;'L2-C TS2-Retrieval'!K57&amp;")","○ NOT TESTED"))))))</f>
        <v/>
      </c>
      <c r="E375" s="241">
        <f>IF('L2-C TS2-Retrieval'!N57="","—",'L2-C TS2-Retrieval'!N57)</f>
        <v/>
      </c>
      <c r="F375" s="223">
        <f>'L2-C TS2-Retrieval'!O57&amp;IF('L2-C TS2-Retrieval'!P57&lt;&gt;"",CHAR(10)&amp;"Notes: "&amp;'L2-C TS2-Retrieval'!P57,"")</f>
        <v/>
      </c>
    </row>
    <row r="376" ht="232" customHeight="1" s="125">
      <c r="A376" s="242" t="n"/>
      <c r="B376" s="243">
        <f>"Developer's Guide: "&amp;IFERROR(LEFT('L2-C TS2-Retrieval'!D57,FIND(CHAR(10)&amp;CHAR(10)&amp;"Purpose:",'L2-C TS2-Retrieval'!D57)-1),'L2-C TS2-Retrieval'!D57)</f>
        <v/>
      </c>
      <c r="C376" s="243">
        <f>"Validator's Guide: "&amp;'L2-C TS2-Retrieval'!E57&amp;CHAR(10)&amp;"Evidence: "&amp;'L2-C TS2-Retrieval'!F57</f>
        <v/>
      </c>
      <c r="D376" s="203" t="n"/>
      <c r="E376" s="203" t="n"/>
      <c r="F376" s="204" t="n"/>
    </row>
    <row r="377" ht="16" customHeight="1" s="125">
      <c r="A377" s="244">
        <f>'L2-C TS2-Retrieval'!A58</f>
        <v/>
      </c>
      <c r="B377" s="245">
        <f>"   ↳  "&amp;IF('L2-C TS2-Retrieval'!H58="Yes","★ ","")&amp;'L2-C TS2-Retrieval'!C58</f>
        <v/>
      </c>
      <c r="C377" s="204" t="n"/>
      <c r="D377" s="240">
        <f>IF('L2-C TS2-Retrieval'!M58="Met","✓ Met",IF('L2-C TS2-Retrieval'!M58="Not Met","✗ Not met",IF('L2-C TS2-Retrieval'!M58="N/A","— N/A","○ Not tested")))</f>
        <v/>
      </c>
      <c r="E377" s="245" t="n"/>
      <c r="F377" s="245">
        <f>IF('L2-C TS2-Retrieval'!P58&lt;&gt;"",'L2-C TS2-Retrieval'!P58,"")</f>
        <v/>
      </c>
    </row>
    <row r="378" ht="29" customHeight="1" s="125">
      <c r="A378" s="244">
        <f>'L2-C TS2-Retrieval'!A59</f>
        <v/>
      </c>
      <c r="B378" s="245">
        <f>"   ↳  "&amp;IF('L2-C TS2-Retrieval'!H59="Yes","★ ","")&amp;'L2-C TS2-Retrieval'!C59</f>
        <v/>
      </c>
      <c r="C378" s="204" t="n"/>
      <c r="D378" s="240">
        <f>IF('L2-C TS2-Retrieval'!M59="Met","✓ Met",IF('L2-C TS2-Retrieval'!M59="Not Met","✗ Not met",IF('L2-C TS2-Retrieval'!M59="N/A","— N/A","○ Not tested")))</f>
        <v/>
      </c>
      <c r="E378" s="245" t="n"/>
      <c r="F378" s="245">
        <f>IF('L2-C TS2-Retrieval'!P59&lt;&gt;"",'L2-C TS2-Retrieval'!P59,"")</f>
        <v/>
      </c>
    </row>
    <row r="379" ht="16" customHeight="1" s="125">
      <c r="A379" s="244">
        <f>'L2-C TS2-Retrieval'!A60</f>
        <v/>
      </c>
      <c r="B379" s="245">
        <f>"   ↳  "&amp;IF('L2-C TS2-Retrieval'!H60="Yes","★ ","")&amp;'L2-C TS2-Retrieval'!C60</f>
        <v/>
      </c>
      <c r="C379" s="204" t="n"/>
      <c r="D379" s="240">
        <f>IF('L2-C TS2-Retrieval'!M60="Met","✓ Met",IF('L2-C TS2-Retrieval'!M60="Not Met","✗ Not met",IF('L2-C TS2-Retrieval'!M60="N/A","— N/A","○ Not tested")))</f>
        <v/>
      </c>
      <c r="E379" s="245" t="n"/>
      <c r="F379" s="245">
        <f>IF('L2-C TS2-Retrieval'!P60&lt;&gt;"",'L2-C TS2-Retrieval'!P60,"")</f>
        <v/>
      </c>
    </row>
    <row r="380" ht="42" customHeight="1" s="125">
      <c r="A380" s="244">
        <f>'L2-C TS2-Retrieval'!A61</f>
        <v/>
      </c>
      <c r="B380" s="245">
        <f>"   ↳  "&amp;IF('L2-C TS2-Retrieval'!H61="Yes","★ ","")&amp;'L2-C TS2-Retrieval'!C61</f>
        <v/>
      </c>
      <c r="C380" s="204" t="n"/>
      <c r="D380" s="240">
        <f>IF('L2-C TS2-Retrieval'!M61="Met","✓ Met",IF('L2-C TS2-Retrieval'!M61="Not Met","✗ Not met",IF('L2-C TS2-Retrieval'!M61="N/A","— N/A","○ Not tested")))</f>
        <v/>
      </c>
      <c r="E380" s="245" t="n"/>
      <c r="F380" s="245">
        <f>IF('L2-C TS2-Retrieval'!P61&lt;&gt;"",'L2-C TS2-Retrieval'!P61,"")</f>
        <v/>
      </c>
    </row>
    <row r="381" ht="56" customHeight="1" s="125">
      <c r="A381" s="238">
        <f>'L2-C TS2-Retrieval'!A62</f>
        <v/>
      </c>
      <c r="B381" s="239">
        <f>'L2-C TS2-Retrieval'!C62&amp;CHAR(10)&amp;"["&amp;'L2-C TS2-Retrieval'!B62&amp;" · "&amp;'L2-C TS2-Retrieval'!G62&amp;"]"</f>
        <v/>
      </c>
      <c r="C381" s="240">
        <f>IF('L2-C TS2-Retrieval'!I62=0,"Info only",IF('L2-C TS2-Retrieval'!H62="Yes","★ CRITICAL"&amp;CHAR(10),IF('L2-C TS2-Retrieval'!H62="★ subs","★ critical sub-items"&amp;CHAR(10),""))&amp;'L2-C TS2-Retrieval'!J62&amp;" · W"&amp;'L2-C TS2-Retrieval'!I62)</f>
        <v/>
      </c>
      <c r="D381" s="226">
        <f>IF('L2-C TS2-Retrieval'!I62=0,"— Not scored",IF('L2-C TS2-Retrieval'!J62="Tier",IF('L2-C TS2-Retrieval'!M62="Fully integrated","✓ FULLY INTEGRATED",IF('L2-C TS2-Retrieval'!M62="Not Met","✗ NOT MET",IF('L2-C TS2-Retrieval'!M62="Not Tested","○ NOT TESTED","◐ "&amp;UPPER('L2-C TS2-Retrieval'!M62)))),IF('L2-C TS2-Retrieval'!M62="Met","✓ MET",IF('L2-C TS2-Retrieval'!M62="Not Met","✗ NOT MET",IF('L2-C TS2-Retrieval'!M62="N/A","— N/A",IF('L2-C TS2-Retrieval'!M62="Counted",IF(AND('L2-C TS2-Retrieval'!N62&gt;=1,'L2-C TS2-Retrieval'!S62=0),"✓ MET",IF('L2-C TS2-Retrieval'!J62="All-or-nothing","✗ NOT MET",IF('L2-C TS2-Retrieval'!S62=1,"✗ NOT MET (★)","◐ PARTIAL")))&amp;CHAR(10)&amp;"("&amp;'L2-C TS2-Retrieval'!L62&amp;" of "&amp;'L2-C TS2-Retrieval'!K62&amp;")","○ NOT TESTED"))))))</f>
        <v/>
      </c>
      <c r="E381" s="241">
        <f>IF('L2-C TS2-Retrieval'!N62="","—",'L2-C TS2-Retrieval'!N62)</f>
        <v/>
      </c>
      <c r="F381" s="223">
        <f>'L2-C TS2-Retrieval'!O62&amp;IF('L2-C TS2-Retrieval'!P62&lt;&gt;"",CHAR(10)&amp;"Notes: "&amp;'L2-C TS2-Retrieval'!P62,"")</f>
        <v/>
      </c>
    </row>
    <row r="382" ht="172" customHeight="1" s="125">
      <c r="A382" s="242" t="n"/>
      <c r="B382" s="243">
        <f>"Developer's Guide: "&amp;IFERROR(LEFT('L2-C TS2-Retrieval'!D62,FIND(CHAR(10)&amp;CHAR(10)&amp;"Purpose:",'L2-C TS2-Retrieval'!D62)-1),'L2-C TS2-Retrieval'!D62)</f>
        <v/>
      </c>
      <c r="C382" s="243">
        <f>"Validator's Guide: "&amp;'L2-C TS2-Retrieval'!E62&amp;CHAR(10)&amp;"Evidence: "&amp;'L2-C TS2-Retrieval'!F62</f>
        <v/>
      </c>
      <c r="D382" s="203" t="n"/>
      <c r="E382" s="203" t="n"/>
      <c r="F382" s="204" t="n"/>
    </row>
    <row r="383" ht="16" customHeight="1" s="125">
      <c r="A383" s="244">
        <f>'L2-C TS2-Retrieval'!A63</f>
        <v/>
      </c>
      <c r="B383" s="245">
        <f>"   ↳  "&amp;IF('L2-C TS2-Retrieval'!H63="Yes","★ ","")&amp;'L2-C TS2-Retrieval'!C63</f>
        <v/>
      </c>
      <c r="C383" s="204" t="n"/>
      <c r="D383" s="240">
        <f>IF('L2-C TS2-Retrieval'!M63="Met","✓ Met",IF('L2-C TS2-Retrieval'!M63="Not Met","✗ Not met",IF('L2-C TS2-Retrieval'!M63="N/A","— N/A","○ Not tested")))</f>
        <v/>
      </c>
      <c r="E383" s="245" t="n"/>
      <c r="F383" s="245">
        <f>IF('L2-C TS2-Retrieval'!P63&lt;&gt;"",'L2-C TS2-Retrieval'!P63,"")</f>
        <v/>
      </c>
    </row>
    <row r="384" ht="16" customHeight="1" s="125">
      <c r="A384" s="244">
        <f>'L2-C TS2-Retrieval'!A64</f>
        <v/>
      </c>
      <c r="B384" s="245">
        <f>"   ↳  "&amp;IF('L2-C TS2-Retrieval'!H64="Yes","★ ","")&amp;'L2-C TS2-Retrieval'!C64</f>
        <v/>
      </c>
      <c r="C384" s="204" t="n"/>
      <c r="D384" s="240">
        <f>IF('L2-C TS2-Retrieval'!M64="Met","✓ Met",IF('L2-C TS2-Retrieval'!M64="Not Met","✗ Not met",IF('L2-C TS2-Retrieval'!M64="N/A","— N/A","○ Not tested")))</f>
        <v/>
      </c>
      <c r="E384" s="245" t="n"/>
      <c r="F384" s="245">
        <f>IF('L2-C TS2-Retrieval'!P64&lt;&gt;"",'L2-C TS2-Retrieval'!P64,"")</f>
        <v/>
      </c>
    </row>
    <row r="385" ht="29" customHeight="1" s="125">
      <c r="A385" s="244">
        <f>'L2-C TS2-Retrieval'!A65</f>
        <v/>
      </c>
      <c r="B385" s="245">
        <f>"   ↳  "&amp;IF('L2-C TS2-Retrieval'!H65="Yes","★ ","")&amp;'L2-C TS2-Retrieval'!C65</f>
        <v/>
      </c>
      <c r="C385" s="204" t="n"/>
      <c r="D385" s="240">
        <f>IF('L2-C TS2-Retrieval'!M65="Met","✓ Met",IF('L2-C TS2-Retrieval'!M65="Not Met","✗ Not met",IF('L2-C TS2-Retrieval'!M65="N/A","— N/A","○ Not tested")))</f>
        <v/>
      </c>
      <c r="E385" s="245" t="n"/>
      <c r="F385" s="245">
        <f>IF('L2-C TS2-Retrieval'!P65&lt;&gt;"",'L2-C TS2-Retrieval'!P65,"")</f>
        <v/>
      </c>
    </row>
    <row r="386" ht="16" customHeight="1" s="125">
      <c r="A386" s="244">
        <f>'L2-C TS2-Retrieval'!A66</f>
        <v/>
      </c>
      <c r="B386" s="245">
        <f>"   ↳  "&amp;IF('L2-C TS2-Retrieval'!H66="Yes","★ ","")&amp;'L2-C TS2-Retrieval'!C66</f>
        <v/>
      </c>
      <c r="C386" s="204" t="n"/>
      <c r="D386" s="240">
        <f>IF('L2-C TS2-Retrieval'!M66="Met","✓ Met",IF('L2-C TS2-Retrieval'!M66="Not Met","✗ Not met",IF('L2-C TS2-Retrieval'!M66="N/A","— N/A","○ Not tested")))</f>
        <v/>
      </c>
      <c r="E386" s="245" t="n"/>
      <c r="F386" s="245">
        <f>IF('L2-C TS2-Retrieval'!P66&lt;&gt;"",'L2-C TS2-Retrieval'!P66,"")</f>
        <v/>
      </c>
    </row>
    <row r="387" ht="43" customHeight="1" s="125">
      <c r="A387" s="238">
        <f>'L2-C TS2-Retrieval'!A67</f>
        <v/>
      </c>
      <c r="B387" s="239">
        <f>'L2-C TS2-Retrieval'!C67&amp;CHAR(10)&amp;"["&amp;'L2-C TS2-Retrieval'!B67&amp;" · "&amp;'L2-C TS2-Retrieval'!G67&amp;"]"</f>
        <v/>
      </c>
      <c r="C387" s="240">
        <f>IF('L2-C TS2-Retrieval'!I67=0,"Info only",IF('L2-C TS2-Retrieval'!H67="Yes","★ CRITICAL"&amp;CHAR(10),IF('L2-C TS2-Retrieval'!H67="★ subs","★ critical sub-items"&amp;CHAR(10),""))&amp;'L2-C TS2-Retrieval'!J67&amp;" · W"&amp;'L2-C TS2-Retrieval'!I67)</f>
        <v/>
      </c>
      <c r="D387" s="226">
        <f>IF('L2-C TS2-Retrieval'!I67=0,"— Not scored",IF('L2-C TS2-Retrieval'!J67="Tier",IF('L2-C TS2-Retrieval'!M67="Fully integrated","✓ FULLY INTEGRATED",IF('L2-C TS2-Retrieval'!M67="Not Met","✗ NOT MET",IF('L2-C TS2-Retrieval'!M67="Not Tested","○ NOT TESTED","◐ "&amp;UPPER('L2-C TS2-Retrieval'!M67)))),IF('L2-C TS2-Retrieval'!M67="Met","✓ MET",IF('L2-C TS2-Retrieval'!M67="Not Met","✗ NOT MET",IF('L2-C TS2-Retrieval'!M67="N/A","— N/A",IF('L2-C TS2-Retrieval'!M67="Counted",IF(AND('L2-C TS2-Retrieval'!N67&gt;=1,'L2-C TS2-Retrieval'!S67=0),"✓ MET",IF('L2-C TS2-Retrieval'!J67="All-or-nothing","✗ NOT MET",IF('L2-C TS2-Retrieval'!S67=1,"✗ NOT MET (★)","◐ PARTIAL")))&amp;CHAR(10)&amp;"("&amp;'L2-C TS2-Retrieval'!L67&amp;" of "&amp;'L2-C TS2-Retrieval'!K67&amp;")","○ NOT TESTED"))))))</f>
        <v/>
      </c>
      <c r="E387" s="241">
        <f>IF('L2-C TS2-Retrieval'!N67="","—",'L2-C TS2-Retrieval'!N67)</f>
        <v/>
      </c>
      <c r="F387" s="223">
        <f>'L2-C TS2-Retrieval'!O67&amp;IF('L2-C TS2-Retrieval'!P67&lt;&gt;"",CHAR(10)&amp;"Notes: "&amp;'L2-C TS2-Retrieval'!P67,"")</f>
        <v/>
      </c>
    </row>
    <row r="388" ht="112" customHeight="1" s="125">
      <c r="A388" s="242" t="n"/>
      <c r="B388" s="243">
        <f>"Developer's Guide: "&amp;IFERROR(LEFT('L2-C TS2-Retrieval'!D67,FIND(CHAR(10)&amp;CHAR(10)&amp;"Purpose:",'L2-C TS2-Retrieval'!D67)-1),'L2-C TS2-Retrieval'!D67)</f>
        <v/>
      </c>
      <c r="C388" s="243">
        <f>"Validator's Guide: "&amp;'L2-C TS2-Retrieval'!E67&amp;CHAR(10)&amp;"Evidence: "&amp;'L2-C TS2-Retrieval'!F67</f>
        <v/>
      </c>
      <c r="D388" s="203" t="n"/>
      <c r="E388" s="203" t="n"/>
      <c r="F388" s="204" t="n"/>
    </row>
    <row r="389" ht="69" customHeight="1" s="125">
      <c r="A389" s="238">
        <f>'L2-C TS2-Retrieval'!A68</f>
        <v/>
      </c>
      <c r="B389" s="239">
        <f>'L2-C TS2-Retrieval'!C68&amp;CHAR(10)&amp;"["&amp;'L2-C TS2-Retrieval'!B68&amp;" · "&amp;'L2-C TS2-Retrieval'!G68&amp;"]"</f>
        <v/>
      </c>
      <c r="C389" s="240">
        <f>IF('L2-C TS2-Retrieval'!I68=0,"Info only",IF('L2-C TS2-Retrieval'!H68="Yes","★ CRITICAL"&amp;CHAR(10),IF('L2-C TS2-Retrieval'!H68="★ subs","★ critical sub-items"&amp;CHAR(10),""))&amp;'L2-C TS2-Retrieval'!J68&amp;" · W"&amp;'L2-C TS2-Retrieval'!I68)</f>
        <v/>
      </c>
      <c r="D389" s="226">
        <f>IF('L2-C TS2-Retrieval'!I68=0,"— Not scored",IF('L2-C TS2-Retrieval'!J68="Tier",IF('L2-C TS2-Retrieval'!M68="Fully integrated","✓ FULLY INTEGRATED",IF('L2-C TS2-Retrieval'!M68="Not Met","✗ NOT MET",IF('L2-C TS2-Retrieval'!M68="Not Tested","○ NOT TESTED","◐ "&amp;UPPER('L2-C TS2-Retrieval'!M68)))),IF('L2-C TS2-Retrieval'!M68="Met","✓ MET",IF('L2-C TS2-Retrieval'!M68="Not Met","✗ NOT MET",IF('L2-C TS2-Retrieval'!M68="N/A","— N/A",IF('L2-C TS2-Retrieval'!M68="Counted",IF(AND('L2-C TS2-Retrieval'!N68&gt;=1,'L2-C TS2-Retrieval'!S68=0),"✓ MET",IF('L2-C TS2-Retrieval'!J68="All-or-nothing","✗ NOT MET",IF('L2-C TS2-Retrieval'!S68=1,"✗ NOT MET (★)","◐ PARTIAL")))&amp;CHAR(10)&amp;"("&amp;'L2-C TS2-Retrieval'!L68&amp;" of "&amp;'L2-C TS2-Retrieval'!K68&amp;")","○ NOT TESTED"))))))</f>
        <v/>
      </c>
      <c r="E389" s="241">
        <f>IF('L2-C TS2-Retrieval'!N68="","—",'L2-C TS2-Retrieval'!N68)</f>
        <v/>
      </c>
      <c r="F389" s="223">
        <f>'L2-C TS2-Retrieval'!O68&amp;IF('L2-C TS2-Retrieval'!P68&lt;&gt;"",CHAR(10)&amp;"Notes: "&amp;'L2-C TS2-Retrieval'!P68,"")</f>
        <v/>
      </c>
    </row>
    <row r="390" ht="160" customHeight="1" s="125">
      <c r="A390" s="242" t="n"/>
      <c r="B390" s="243">
        <f>"Developer's Guide: "&amp;IFERROR(LEFT('L2-C TS2-Retrieval'!D68,FIND(CHAR(10)&amp;CHAR(10)&amp;"Purpose:",'L2-C TS2-Retrieval'!D68)-1),'L2-C TS2-Retrieval'!D68)</f>
        <v/>
      </c>
      <c r="C390" s="243">
        <f>"Validator's Guide: "&amp;'L2-C TS2-Retrieval'!E68&amp;CHAR(10)&amp;"Evidence: "&amp;'L2-C TS2-Retrieval'!F68</f>
        <v/>
      </c>
      <c r="D390" s="203" t="n"/>
      <c r="E390" s="203" t="n"/>
      <c r="F390" s="204" t="n"/>
    </row>
    <row r="391" ht="16" customHeight="1" s="125">
      <c r="A391" s="244">
        <f>'L2-C TS2-Retrieval'!A69</f>
        <v/>
      </c>
      <c r="B391" s="245">
        <f>"   ↳  "&amp;IF('L2-C TS2-Retrieval'!H69="Yes","★ ","")&amp;'L2-C TS2-Retrieval'!C69</f>
        <v/>
      </c>
      <c r="C391" s="204" t="n"/>
      <c r="D391" s="240">
        <f>IF('L2-C TS2-Retrieval'!M69="Met","✓ Met",IF('L2-C TS2-Retrieval'!M69="Not Met","✗ Not met",IF('L2-C TS2-Retrieval'!M69="N/A","— N/A","○ Not tested")))</f>
        <v/>
      </c>
      <c r="E391" s="245" t="n"/>
      <c r="F391" s="245">
        <f>IF('L2-C TS2-Retrieval'!P69&lt;&gt;"",'L2-C TS2-Retrieval'!P69,"")</f>
        <v/>
      </c>
    </row>
    <row r="392" ht="29" customHeight="1" s="125">
      <c r="A392" s="244">
        <f>'L2-C TS2-Retrieval'!A70</f>
        <v/>
      </c>
      <c r="B392" s="245">
        <f>"   ↳  "&amp;IF('L2-C TS2-Retrieval'!H70="Yes","★ ","")&amp;'L2-C TS2-Retrieval'!C70</f>
        <v/>
      </c>
      <c r="C392" s="204" t="n"/>
      <c r="D392" s="240">
        <f>IF('L2-C TS2-Retrieval'!M70="Met","✓ Met",IF('L2-C TS2-Retrieval'!M70="Not Met","✗ Not met",IF('L2-C TS2-Retrieval'!M70="N/A","— N/A","○ Not tested")))</f>
        <v/>
      </c>
      <c r="E392" s="245" t="n"/>
      <c r="F392" s="245">
        <f>IF('L2-C TS2-Retrieval'!P70&lt;&gt;"",'L2-C TS2-Retrieval'!P70,"")</f>
        <v/>
      </c>
    </row>
    <row r="393" ht="16" customHeight="1" s="125">
      <c r="A393" s="244">
        <f>'L2-C TS2-Retrieval'!A71</f>
        <v/>
      </c>
      <c r="B393" s="245">
        <f>"   ↳  "&amp;IF('L2-C TS2-Retrieval'!H71="Yes","★ ","")&amp;'L2-C TS2-Retrieval'!C71</f>
        <v/>
      </c>
      <c r="C393" s="204" t="n"/>
      <c r="D393" s="240">
        <f>IF('L2-C TS2-Retrieval'!M71="Met","✓ Met",IF('L2-C TS2-Retrieval'!M71="Not Met","✗ Not met",IF('L2-C TS2-Retrieval'!M71="N/A","— N/A","○ Not tested")))</f>
        <v/>
      </c>
      <c r="E393" s="245" t="n"/>
      <c r="F393" s="245">
        <f>IF('L2-C TS2-Retrieval'!P71&lt;&gt;"",'L2-C TS2-Retrieval'!P71,"")</f>
        <v/>
      </c>
    </row>
    <row r="394" ht="16" customHeight="1" s="125">
      <c r="A394" s="244">
        <f>'L2-C TS2-Retrieval'!A72</f>
        <v/>
      </c>
      <c r="B394" s="245">
        <f>"   ↳  "&amp;IF('L2-C TS2-Retrieval'!H72="Yes","★ ","")&amp;'L2-C TS2-Retrieval'!C72</f>
        <v/>
      </c>
      <c r="C394" s="204" t="n"/>
      <c r="D394" s="240">
        <f>IF('L2-C TS2-Retrieval'!M72="Met","✓ Met",IF('L2-C TS2-Retrieval'!M72="Not Met","✗ Not met",IF('L2-C TS2-Retrieval'!M72="N/A","— N/A","○ Not tested")))</f>
        <v/>
      </c>
      <c r="E394" s="245" t="n"/>
      <c r="F394" s="245">
        <f>IF('L2-C TS2-Retrieval'!P72&lt;&gt;"",'L2-C TS2-Retrieval'!P72,"")</f>
        <v/>
      </c>
    </row>
    <row r="395" ht="15" customHeight="1" s="125">
      <c r="A395" s="236" t="inlineStr">
        <is>
          <t>LEVEL 2D — SECURITY, RELIABILITY &amp; EXCEPTION HANDLING (conformance testing — not a VAPT)</t>
        </is>
      </c>
      <c r="B395" s="203" t="n"/>
      <c r="C395" s="203" t="n"/>
      <c r="D395" s="203" t="n"/>
      <c r="E395" s="203" t="n"/>
      <c r="F395" s="204" t="n"/>
    </row>
    <row r="396" ht="13.5" customHeight="1" s="125">
      <c r="A396" s="237">
        <f>"Score: "&amp;TEXT('L2-D System Resilience'!D4,"0.0%")&amp;"  ·  Threshold: "&amp;TEXT('L2-D System Resilience'!D5,"0%")&amp;"  ·  Critical not met: "&amp;'L2-D System Resilience'!D6&amp;"  ·  Not tested: "&amp;'L2-D System Resilience'!F4&amp;" of "&amp;'L2-D System Resilience'!F7&amp;"  ·  Status: "&amp;'L2-D System Resilience'!F6</f>
        <v/>
      </c>
      <c r="B396" s="203" t="n"/>
      <c r="C396" s="203" t="n"/>
      <c r="D396" s="203" t="n"/>
      <c r="E396" s="203" t="n"/>
      <c r="F396" s="204" t="n"/>
    </row>
    <row r="397" ht="69" customHeight="1" s="125">
      <c r="A397" s="238">
        <f>'L2-D System Resilience'!A10</f>
        <v/>
      </c>
      <c r="B397" s="239">
        <f>'L2-D System Resilience'!C10&amp;CHAR(10)&amp;"["&amp;'L2-D System Resilience'!B10&amp;" · "&amp;'L2-D System Resilience'!G10&amp;"]"</f>
        <v/>
      </c>
      <c r="C397" s="240">
        <f>IF('L2-D System Resilience'!I10=0,"Info only",IF('L2-D System Resilience'!H10="Yes","★ CRITICAL"&amp;CHAR(10),IF('L2-D System Resilience'!H10="★ subs","★ critical sub-items"&amp;CHAR(10),""))&amp;'L2-D System Resilience'!J10&amp;" · W"&amp;'L2-D System Resilience'!I10)</f>
        <v/>
      </c>
      <c r="D397" s="226">
        <f>IF('L2-D System Resilience'!I10=0,"— Not scored",IF('L2-D System Resilience'!J10="Tier",IF('L2-D System Resilience'!M10="Fully integrated","✓ FULLY INTEGRATED",IF('L2-D System Resilience'!M10="Not Met","✗ NOT MET",IF('L2-D System Resilience'!M10="Not Tested","○ NOT TESTED","◐ "&amp;UPPER('L2-D System Resilience'!M10)))),IF('L2-D System Resilience'!M10="Met","✓ MET",IF('L2-D System Resilience'!M10="Not Met","✗ NOT MET",IF('L2-D System Resilience'!M10="N/A","— N/A",IF('L2-D System Resilience'!M10="Counted",IF(AND('L2-D System Resilience'!N10&gt;=1,'L2-D System Resilience'!S10=0),"✓ MET",IF('L2-D System Resilience'!J10="All-or-nothing","✗ NOT MET",IF('L2-D System Resilience'!S10=1,"✗ NOT MET (★)","◐ PARTIAL")))&amp;CHAR(10)&amp;"("&amp;'L2-D System Resilience'!L10&amp;" of "&amp;'L2-D System Resilience'!K10&amp;")","○ NOT TESTED"))))))</f>
        <v/>
      </c>
      <c r="E397" s="241">
        <f>IF('L2-D System Resilience'!N10="","—",'L2-D System Resilience'!N10)</f>
        <v/>
      </c>
      <c r="F397" s="223">
        <f>'L2-D System Resilience'!O10&amp;IF('L2-D System Resilience'!P10&lt;&gt;"",CHAR(10)&amp;"Notes: "&amp;'L2-D System Resilience'!P10,"")</f>
        <v/>
      </c>
    </row>
    <row r="398" ht="112" customHeight="1" s="125">
      <c r="A398" s="242" t="n"/>
      <c r="B398" s="243">
        <f>"Developer's Guide: "&amp;IFERROR(LEFT('L2-D System Resilience'!D10,FIND(CHAR(10)&amp;CHAR(10)&amp;"Purpose:",'L2-D System Resilience'!D10)-1),'L2-D System Resilience'!D10)</f>
        <v/>
      </c>
      <c r="C398" s="243">
        <f>"Validator's Guide: "&amp;'L2-D System Resilience'!E10&amp;CHAR(10)&amp;"Evidence: "&amp;'L2-D System Resilience'!F10</f>
        <v/>
      </c>
      <c r="D398" s="203" t="n"/>
      <c r="E398" s="203" t="n"/>
      <c r="F398" s="204" t="n"/>
    </row>
    <row r="399" ht="43" customHeight="1" s="125">
      <c r="A399" s="238">
        <f>'L2-D System Resilience'!A11</f>
        <v/>
      </c>
      <c r="B399" s="239">
        <f>'L2-D System Resilience'!C11&amp;CHAR(10)&amp;"["&amp;'L2-D System Resilience'!B11&amp;" · "&amp;'L2-D System Resilience'!G11&amp;"]"</f>
        <v/>
      </c>
      <c r="C399" s="240">
        <f>IF('L2-D System Resilience'!I11=0,"Info only",IF('L2-D System Resilience'!H11="Yes","★ CRITICAL"&amp;CHAR(10),IF('L2-D System Resilience'!H11="★ subs","★ critical sub-items"&amp;CHAR(10),""))&amp;'L2-D System Resilience'!J11&amp;" · W"&amp;'L2-D System Resilience'!I11)</f>
        <v/>
      </c>
      <c r="D399" s="226">
        <f>IF('L2-D System Resilience'!I11=0,"— Not scored",IF('L2-D System Resilience'!J11="Tier",IF('L2-D System Resilience'!M11="Fully integrated","✓ FULLY INTEGRATED",IF('L2-D System Resilience'!M11="Not Met","✗ NOT MET",IF('L2-D System Resilience'!M11="Not Tested","○ NOT TESTED","◐ "&amp;UPPER('L2-D System Resilience'!M11)))),IF('L2-D System Resilience'!M11="Met","✓ MET",IF('L2-D System Resilience'!M11="Not Met","✗ NOT MET",IF('L2-D System Resilience'!M11="N/A","— N/A",IF('L2-D System Resilience'!M11="Counted",IF(AND('L2-D System Resilience'!N11&gt;=1,'L2-D System Resilience'!S11=0),"✓ MET",IF('L2-D System Resilience'!J11="All-or-nothing","✗ NOT MET",IF('L2-D System Resilience'!S11=1,"✗ NOT MET (★)","◐ PARTIAL")))&amp;CHAR(10)&amp;"("&amp;'L2-D System Resilience'!L11&amp;" of "&amp;'L2-D System Resilience'!K11&amp;")","○ NOT TESTED"))))))</f>
        <v/>
      </c>
      <c r="E399" s="241">
        <f>IF('L2-D System Resilience'!N11="","—",'L2-D System Resilience'!N11)</f>
        <v/>
      </c>
      <c r="F399" s="223">
        <f>'L2-D System Resilience'!O11&amp;IF('L2-D System Resilience'!P11&lt;&gt;"",CHAR(10)&amp;"Notes: "&amp;'L2-D System Resilience'!P11,"")</f>
        <v/>
      </c>
    </row>
    <row r="400" ht="88" customHeight="1" s="125">
      <c r="A400" s="242" t="n"/>
      <c r="B400" s="243">
        <f>"Developer's Guide: "&amp;IFERROR(LEFT('L2-D System Resilience'!D11,FIND(CHAR(10)&amp;CHAR(10)&amp;"Purpose:",'L2-D System Resilience'!D11)-1),'L2-D System Resilience'!D11)</f>
        <v/>
      </c>
      <c r="C400" s="243">
        <f>"Validator's Guide: "&amp;'L2-D System Resilience'!E11&amp;CHAR(10)&amp;"Evidence: "&amp;'L2-D System Resilience'!F11</f>
        <v/>
      </c>
      <c r="D400" s="203" t="n"/>
      <c r="E400" s="203" t="n"/>
      <c r="F400" s="204" t="n"/>
    </row>
    <row r="401" ht="69" customHeight="1" s="125">
      <c r="A401" s="238">
        <f>'L2-D System Resilience'!A12</f>
        <v/>
      </c>
      <c r="B401" s="239">
        <f>'L2-D System Resilience'!C12&amp;CHAR(10)&amp;"["&amp;'L2-D System Resilience'!B12&amp;" · "&amp;'L2-D System Resilience'!G12&amp;"]"</f>
        <v/>
      </c>
      <c r="C401" s="240">
        <f>IF('L2-D System Resilience'!I12=0,"Info only",IF('L2-D System Resilience'!H12="Yes","★ CRITICAL"&amp;CHAR(10),IF('L2-D System Resilience'!H12="★ subs","★ critical sub-items"&amp;CHAR(10),""))&amp;'L2-D System Resilience'!J12&amp;" · W"&amp;'L2-D System Resilience'!I12)</f>
        <v/>
      </c>
      <c r="D401" s="226">
        <f>IF('L2-D System Resilience'!I12=0,"— Not scored",IF('L2-D System Resilience'!J12="Tier",IF('L2-D System Resilience'!M12="Fully integrated","✓ FULLY INTEGRATED",IF('L2-D System Resilience'!M12="Not Met","✗ NOT MET",IF('L2-D System Resilience'!M12="Not Tested","○ NOT TESTED","◐ "&amp;UPPER('L2-D System Resilience'!M12)))),IF('L2-D System Resilience'!M12="Met","✓ MET",IF('L2-D System Resilience'!M12="Not Met","✗ NOT MET",IF('L2-D System Resilience'!M12="N/A","— N/A",IF('L2-D System Resilience'!M12="Counted",IF(AND('L2-D System Resilience'!N12&gt;=1,'L2-D System Resilience'!S12=0),"✓ MET",IF('L2-D System Resilience'!J12="All-or-nothing","✗ NOT MET",IF('L2-D System Resilience'!S12=1,"✗ NOT MET (★)","◐ PARTIAL")))&amp;CHAR(10)&amp;"("&amp;'L2-D System Resilience'!L12&amp;" of "&amp;'L2-D System Resilience'!K12&amp;")","○ NOT TESTED"))))))</f>
        <v/>
      </c>
      <c r="E401" s="241">
        <f>IF('L2-D System Resilience'!N12="","—",'L2-D System Resilience'!N12)</f>
        <v/>
      </c>
      <c r="F401" s="223">
        <f>'L2-D System Resilience'!O12&amp;IF('L2-D System Resilience'!P12&lt;&gt;"",CHAR(10)&amp;"Notes: "&amp;'L2-D System Resilience'!P12,"")</f>
        <v/>
      </c>
    </row>
    <row r="402" ht="64" customHeight="1" s="125">
      <c r="A402" s="242" t="n"/>
      <c r="B402" s="243">
        <f>"Developer's Guide: "&amp;IFERROR(LEFT('L2-D System Resilience'!D12,FIND(CHAR(10)&amp;CHAR(10)&amp;"Purpose:",'L2-D System Resilience'!D12)-1),'L2-D System Resilience'!D12)</f>
        <v/>
      </c>
      <c r="C402" s="243">
        <f>"Validator's Guide: "&amp;'L2-D System Resilience'!E12&amp;CHAR(10)&amp;"Evidence: "&amp;'L2-D System Resilience'!F12</f>
        <v/>
      </c>
      <c r="D402" s="203" t="n"/>
      <c r="E402" s="203" t="n"/>
      <c r="F402" s="204" t="n"/>
    </row>
    <row r="403" ht="16" customHeight="1" s="125">
      <c r="A403" s="244">
        <f>'L2-D System Resilience'!A13</f>
        <v/>
      </c>
      <c r="B403" s="245">
        <f>"   ↳  "&amp;IF('L2-D System Resilience'!H13="Yes","★ ","")&amp;'L2-D System Resilience'!C13</f>
        <v/>
      </c>
      <c r="C403" s="204" t="n"/>
      <c r="D403" s="240">
        <f>IF('L2-D System Resilience'!M13="Met","✓ Met",IF('L2-D System Resilience'!M13="Not Met","✗ Not met",IF('L2-D System Resilience'!M13="N/A","— N/A","○ Not tested")))</f>
        <v/>
      </c>
      <c r="E403" s="245" t="n"/>
      <c r="F403" s="245">
        <f>IF('L2-D System Resilience'!P13&lt;&gt;"",'L2-D System Resilience'!P13,"")</f>
        <v/>
      </c>
    </row>
    <row r="404" ht="16" customHeight="1" s="125">
      <c r="A404" s="244">
        <f>'L2-D System Resilience'!A14</f>
        <v/>
      </c>
      <c r="B404" s="245">
        <f>"   ↳  "&amp;IF('L2-D System Resilience'!H14="Yes","★ ","")&amp;'L2-D System Resilience'!C14</f>
        <v/>
      </c>
      <c r="C404" s="204" t="n"/>
      <c r="D404" s="240">
        <f>IF('L2-D System Resilience'!M14="Met","✓ Met",IF('L2-D System Resilience'!M14="Not Met","✗ Not met",IF('L2-D System Resilience'!M14="N/A","— N/A","○ Not tested")))</f>
        <v/>
      </c>
      <c r="E404" s="245" t="n"/>
      <c r="F404" s="245">
        <f>IF('L2-D System Resilience'!P14&lt;&gt;"",'L2-D System Resilience'!P14,"")</f>
        <v/>
      </c>
    </row>
    <row r="405" ht="16" customHeight="1" s="125">
      <c r="A405" s="244">
        <f>'L2-D System Resilience'!A15</f>
        <v/>
      </c>
      <c r="B405" s="245">
        <f>"   ↳  "&amp;IF('L2-D System Resilience'!H15="Yes","★ ","")&amp;'L2-D System Resilience'!C15</f>
        <v/>
      </c>
      <c r="C405" s="204" t="n"/>
      <c r="D405" s="240">
        <f>IF('L2-D System Resilience'!M15="Met","✓ Met",IF('L2-D System Resilience'!M15="Not Met","✗ Not met",IF('L2-D System Resilience'!M15="N/A","— N/A","○ Not tested")))</f>
        <v/>
      </c>
      <c r="E405" s="245" t="n"/>
      <c r="F405" s="245">
        <f>IF('L2-D System Resilience'!P15&lt;&gt;"",'L2-D System Resilience'!P15,"")</f>
        <v/>
      </c>
    </row>
    <row r="406" ht="29" customHeight="1" s="125">
      <c r="A406" s="244">
        <f>'L2-D System Resilience'!A16</f>
        <v/>
      </c>
      <c r="B406" s="245">
        <f>"   ↳  "&amp;IF('L2-D System Resilience'!H16="Yes","★ ","")&amp;'L2-D System Resilience'!C16</f>
        <v/>
      </c>
      <c r="C406" s="204" t="n"/>
      <c r="D406" s="240">
        <f>IF('L2-D System Resilience'!M16="Met","✓ Met",IF('L2-D System Resilience'!M16="Not Met","✗ Not met",IF('L2-D System Resilience'!M16="N/A","— N/A","○ Not tested")))</f>
        <v/>
      </c>
      <c r="E406" s="245" t="n"/>
      <c r="F406" s="245">
        <f>IF('L2-D System Resilience'!P16&lt;&gt;"",'L2-D System Resilience'!P16,"")</f>
        <v/>
      </c>
    </row>
    <row r="407" ht="30" customHeight="1" s="125">
      <c r="A407" s="238">
        <f>'L2-D System Resilience'!A17</f>
        <v/>
      </c>
      <c r="B407" s="239">
        <f>'L2-D System Resilience'!C17&amp;CHAR(10)&amp;"["&amp;'L2-D System Resilience'!B17&amp;" · "&amp;'L2-D System Resilience'!G17&amp;"]"</f>
        <v/>
      </c>
      <c r="C407" s="240">
        <f>IF('L2-D System Resilience'!I17=0,"Info only",IF('L2-D System Resilience'!H17="Yes","★ CRITICAL"&amp;CHAR(10),IF('L2-D System Resilience'!H17="★ subs","★ critical sub-items"&amp;CHAR(10),""))&amp;'L2-D System Resilience'!J17&amp;" · W"&amp;'L2-D System Resilience'!I17)</f>
        <v/>
      </c>
      <c r="D407" s="226">
        <f>IF('L2-D System Resilience'!I17=0,"— Not scored",IF('L2-D System Resilience'!J17="Tier",IF('L2-D System Resilience'!M17="Fully integrated","✓ FULLY INTEGRATED",IF('L2-D System Resilience'!M17="Not Met","✗ NOT MET",IF('L2-D System Resilience'!M17="Not Tested","○ NOT TESTED","◐ "&amp;UPPER('L2-D System Resilience'!M17)))),IF('L2-D System Resilience'!M17="Met","✓ MET",IF('L2-D System Resilience'!M17="Not Met","✗ NOT MET",IF('L2-D System Resilience'!M17="N/A","— N/A",IF('L2-D System Resilience'!M17="Counted",IF(AND('L2-D System Resilience'!N17&gt;=1,'L2-D System Resilience'!S17=0),"✓ MET",IF('L2-D System Resilience'!J17="All-or-nothing","✗ NOT MET",IF('L2-D System Resilience'!S17=1,"✗ NOT MET (★)","◐ PARTIAL")))&amp;CHAR(10)&amp;"("&amp;'L2-D System Resilience'!L17&amp;" of "&amp;'L2-D System Resilience'!K17&amp;")","○ NOT TESTED"))))))</f>
        <v/>
      </c>
      <c r="E407" s="241">
        <f>IF('L2-D System Resilience'!N17="","—",'L2-D System Resilience'!N17)</f>
        <v/>
      </c>
      <c r="F407" s="223">
        <f>'L2-D System Resilience'!O17&amp;IF('L2-D System Resilience'!P17&lt;&gt;"",CHAR(10)&amp;"Notes: "&amp;'L2-D System Resilience'!P17,"")</f>
        <v/>
      </c>
    </row>
    <row r="408" ht="88" customHeight="1" s="125">
      <c r="A408" s="242" t="n"/>
      <c r="B408" s="243">
        <f>"Developer's Guide: "&amp;IFERROR(LEFT('L2-D System Resilience'!D17,FIND(CHAR(10)&amp;CHAR(10)&amp;"Purpose:",'L2-D System Resilience'!D17)-1),'L2-D System Resilience'!D17)</f>
        <v/>
      </c>
      <c r="C408" s="243">
        <f>"Validator's Guide: "&amp;'L2-D System Resilience'!E17&amp;CHAR(10)&amp;"Evidence: "&amp;'L2-D System Resilience'!F17</f>
        <v/>
      </c>
      <c r="D408" s="203" t="n"/>
      <c r="E408" s="203" t="n"/>
      <c r="F408" s="204" t="n"/>
    </row>
    <row r="409" ht="16" customHeight="1" s="125">
      <c r="A409" s="244">
        <f>'L2-D System Resilience'!A18</f>
        <v/>
      </c>
      <c r="B409" s="245">
        <f>"   ↳  "&amp;IF('L2-D System Resilience'!H18="Yes","★ ","")&amp;'L2-D System Resilience'!C18</f>
        <v/>
      </c>
      <c r="C409" s="204" t="n"/>
      <c r="D409" s="240">
        <f>IF('L2-D System Resilience'!M18="Met","✓ Met",IF('L2-D System Resilience'!M18="Not Met","✗ Not met",IF('L2-D System Resilience'!M18="N/A","— N/A","○ Not tested")))</f>
        <v/>
      </c>
      <c r="E409" s="245" t="n"/>
      <c r="F409" s="245">
        <f>IF('L2-D System Resilience'!P18&lt;&gt;"",'L2-D System Resilience'!P18,"")</f>
        <v/>
      </c>
    </row>
    <row r="410" ht="16" customHeight="1" s="125">
      <c r="A410" s="244">
        <f>'L2-D System Resilience'!A19</f>
        <v/>
      </c>
      <c r="B410" s="245">
        <f>"   ↳  "&amp;IF('L2-D System Resilience'!H19="Yes","★ ","")&amp;'L2-D System Resilience'!C19</f>
        <v/>
      </c>
      <c r="C410" s="204" t="n"/>
      <c r="D410" s="240">
        <f>IF('L2-D System Resilience'!M19="Met","✓ Met",IF('L2-D System Resilience'!M19="Not Met","✗ Not met",IF('L2-D System Resilience'!M19="N/A","— N/A","○ Not tested")))</f>
        <v/>
      </c>
      <c r="E410" s="245" t="n"/>
      <c r="F410" s="245">
        <f>IF('L2-D System Resilience'!P19&lt;&gt;"",'L2-D System Resilience'!P19,"")</f>
        <v/>
      </c>
    </row>
    <row r="411" ht="16" customHeight="1" s="125">
      <c r="A411" s="244">
        <f>'L2-D System Resilience'!A20</f>
        <v/>
      </c>
      <c r="B411" s="245">
        <f>"   ↳  "&amp;IF('L2-D System Resilience'!H20="Yes","★ ","")&amp;'L2-D System Resilience'!C20</f>
        <v/>
      </c>
      <c r="C411" s="204" t="n"/>
      <c r="D411" s="240">
        <f>IF('L2-D System Resilience'!M20="Met","✓ Met",IF('L2-D System Resilience'!M20="Not Met","✗ Not met",IF('L2-D System Resilience'!M20="N/A","— N/A","○ Not tested")))</f>
        <v/>
      </c>
      <c r="E411" s="245" t="n"/>
      <c r="F411" s="245">
        <f>IF('L2-D System Resilience'!P20&lt;&gt;"",'L2-D System Resilience'!P20,"")</f>
        <v/>
      </c>
    </row>
    <row r="412" ht="16" customHeight="1" s="125">
      <c r="A412" s="244">
        <f>'L2-D System Resilience'!A21</f>
        <v/>
      </c>
      <c r="B412" s="245">
        <f>"   ↳  "&amp;IF('L2-D System Resilience'!H21="Yes","★ ","")&amp;'L2-D System Resilience'!C21</f>
        <v/>
      </c>
      <c r="C412" s="204" t="n"/>
      <c r="D412" s="240">
        <f>IF('L2-D System Resilience'!M21="Met","✓ Met",IF('L2-D System Resilience'!M21="Not Met","✗ Not met",IF('L2-D System Resilience'!M21="N/A","— N/A","○ Not tested")))</f>
        <v/>
      </c>
      <c r="E412" s="245" t="n"/>
      <c r="F412" s="245">
        <f>IF('L2-D System Resilience'!P21&lt;&gt;"",'L2-D System Resilience'!P21,"")</f>
        <v/>
      </c>
    </row>
    <row r="413" ht="16" customHeight="1" s="125">
      <c r="A413" s="244">
        <f>'L2-D System Resilience'!A22</f>
        <v/>
      </c>
      <c r="B413" s="245">
        <f>"   ↳  "&amp;IF('L2-D System Resilience'!H22="Yes","★ ","")&amp;'L2-D System Resilience'!C22</f>
        <v/>
      </c>
      <c r="C413" s="204" t="n"/>
      <c r="D413" s="240">
        <f>IF('L2-D System Resilience'!M22="Met","✓ Met",IF('L2-D System Resilience'!M22="Not Met","✗ Not met",IF('L2-D System Resilience'!M22="N/A","— N/A","○ Not tested")))</f>
        <v/>
      </c>
      <c r="E413" s="245" t="n"/>
      <c r="F413" s="245">
        <f>IF('L2-D System Resilience'!P22&lt;&gt;"",'L2-D System Resilience'!P22,"")</f>
        <v/>
      </c>
    </row>
    <row r="414" ht="16" customHeight="1" s="125">
      <c r="A414" s="244">
        <f>'L2-D System Resilience'!A23</f>
        <v/>
      </c>
      <c r="B414" s="245">
        <f>"   ↳  "&amp;IF('L2-D System Resilience'!H23="Yes","★ ","")&amp;'L2-D System Resilience'!C23</f>
        <v/>
      </c>
      <c r="C414" s="204" t="n"/>
      <c r="D414" s="240">
        <f>IF('L2-D System Resilience'!M23="Met","✓ Met",IF('L2-D System Resilience'!M23="Not Met","✗ Not met",IF('L2-D System Resilience'!M23="N/A","— N/A","○ Not tested")))</f>
        <v/>
      </c>
      <c r="E414" s="245" t="n"/>
      <c r="F414" s="245">
        <f>IF('L2-D System Resilience'!P23&lt;&gt;"",'L2-D System Resilience'!P23,"")</f>
        <v/>
      </c>
    </row>
    <row r="415" ht="16" customHeight="1" s="125">
      <c r="A415" s="244">
        <f>'L2-D System Resilience'!A24</f>
        <v/>
      </c>
      <c r="B415" s="245">
        <f>"   ↳  "&amp;IF('L2-D System Resilience'!H24="Yes","★ ","")&amp;'L2-D System Resilience'!C24</f>
        <v/>
      </c>
      <c r="C415" s="204" t="n"/>
      <c r="D415" s="240">
        <f>IF('L2-D System Resilience'!M24="Met","✓ Met",IF('L2-D System Resilience'!M24="Not Met","✗ Not met",IF('L2-D System Resilience'!M24="N/A","— N/A","○ Not tested")))</f>
        <v/>
      </c>
      <c r="E415" s="245" t="n"/>
      <c r="F415" s="245">
        <f>IF('L2-D System Resilience'!P24&lt;&gt;"",'L2-D System Resilience'!P24,"")</f>
        <v/>
      </c>
    </row>
    <row r="416" ht="16" customHeight="1" s="125">
      <c r="A416" s="244">
        <f>'L2-D System Resilience'!A25</f>
        <v/>
      </c>
      <c r="B416" s="245">
        <f>"   ↳  "&amp;IF('L2-D System Resilience'!H25="Yes","★ ","")&amp;'L2-D System Resilience'!C25</f>
        <v/>
      </c>
      <c r="C416" s="204" t="n"/>
      <c r="D416" s="240">
        <f>IF('L2-D System Resilience'!M25="Met","✓ Met",IF('L2-D System Resilience'!M25="Not Met","✗ Not met",IF('L2-D System Resilience'!M25="N/A","— N/A","○ Not tested")))</f>
        <v/>
      </c>
      <c r="E416" s="245" t="n"/>
      <c r="F416" s="245">
        <f>IF('L2-D System Resilience'!P25&lt;&gt;"",'L2-D System Resilience'!P25,"")</f>
        <v/>
      </c>
    </row>
    <row r="417" ht="16" customHeight="1" s="125">
      <c r="A417" s="244">
        <f>'L2-D System Resilience'!A26</f>
        <v/>
      </c>
      <c r="B417" s="245">
        <f>"   ↳  "&amp;IF('L2-D System Resilience'!H26="Yes","★ ","")&amp;'L2-D System Resilience'!C26</f>
        <v/>
      </c>
      <c r="C417" s="204" t="n"/>
      <c r="D417" s="240">
        <f>IF('L2-D System Resilience'!M26="Met","✓ Met",IF('L2-D System Resilience'!M26="Not Met","✗ Not met",IF('L2-D System Resilience'!M26="N/A","— N/A","○ Not tested")))</f>
        <v/>
      </c>
      <c r="E417" s="245" t="n"/>
      <c r="F417" s="245">
        <f>IF('L2-D System Resilience'!P26&lt;&gt;"",'L2-D System Resilience'!P26,"")</f>
        <v/>
      </c>
    </row>
    <row r="418" ht="16" customHeight="1" s="125">
      <c r="A418" s="244">
        <f>'L2-D System Resilience'!A27</f>
        <v/>
      </c>
      <c r="B418" s="245">
        <f>"   ↳  "&amp;IF('L2-D System Resilience'!H27="Yes","★ ","")&amp;'L2-D System Resilience'!C27</f>
        <v/>
      </c>
      <c r="C418" s="204" t="n"/>
      <c r="D418" s="240">
        <f>IF('L2-D System Resilience'!M27="Met","✓ Met",IF('L2-D System Resilience'!M27="Not Met","✗ Not met",IF('L2-D System Resilience'!M27="N/A","— N/A","○ Not tested")))</f>
        <v/>
      </c>
      <c r="E418" s="245" t="n"/>
      <c r="F418" s="245">
        <f>IF('L2-D System Resilience'!P27&lt;&gt;"",'L2-D System Resilience'!P27,"")</f>
        <v/>
      </c>
    </row>
    <row r="419" ht="30" customHeight="1" s="125">
      <c r="A419" s="238">
        <f>'L2-D System Resilience'!A28</f>
        <v/>
      </c>
      <c r="B419" s="239">
        <f>'L2-D System Resilience'!C28&amp;CHAR(10)&amp;"["&amp;'L2-D System Resilience'!B28&amp;" · "&amp;'L2-D System Resilience'!G28&amp;"]"</f>
        <v/>
      </c>
      <c r="C419" s="240">
        <f>IF('L2-D System Resilience'!I28=0,"Info only",IF('L2-D System Resilience'!H28="Yes","★ CRITICAL"&amp;CHAR(10),IF('L2-D System Resilience'!H28="★ subs","★ critical sub-items"&amp;CHAR(10),""))&amp;'L2-D System Resilience'!J28&amp;" · W"&amp;'L2-D System Resilience'!I28)</f>
        <v/>
      </c>
      <c r="D419" s="226">
        <f>IF('L2-D System Resilience'!I28=0,"— Not scored",IF('L2-D System Resilience'!J28="Tier",IF('L2-D System Resilience'!M28="Fully integrated","✓ FULLY INTEGRATED",IF('L2-D System Resilience'!M28="Not Met","✗ NOT MET",IF('L2-D System Resilience'!M28="Not Tested","○ NOT TESTED","◐ "&amp;UPPER('L2-D System Resilience'!M28)))),IF('L2-D System Resilience'!M28="Met","✓ MET",IF('L2-D System Resilience'!M28="Not Met","✗ NOT MET",IF('L2-D System Resilience'!M28="N/A","— N/A",IF('L2-D System Resilience'!M28="Counted",IF(AND('L2-D System Resilience'!N28&gt;=1,'L2-D System Resilience'!S28=0),"✓ MET",IF('L2-D System Resilience'!J28="All-or-nothing","✗ NOT MET",IF('L2-D System Resilience'!S28=1,"✗ NOT MET (★)","◐ PARTIAL")))&amp;CHAR(10)&amp;"("&amp;'L2-D System Resilience'!L28&amp;" of "&amp;'L2-D System Resilience'!K28&amp;")","○ NOT TESTED"))))))</f>
        <v/>
      </c>
      <c r="E419" s="241">
        <f>IF('L2-D System Resilience'!N28="","—",'L2-D System Resilience'!N28)</f>
        <v/>
      </c>
      <c r="F419" s="223">
        <f>'L2-D System Resilience'!O28&amp;IF('L2-D System Resilience'!P28&lt;&gt;"",CHAR(10)&amp;"Notes: "&amp;'L2-D System Resilience'!P28,"")</f>
        <v/>
      </c>
    </row>
    <row r="420" ht="64" customHeight="1" s="125">
      <c r="A420" s="242" t="n"/>
      <c r="B420" s="243">
        <f>"Developer's Guide: "&amp;IFERROR(LEFT('L2-D System Resilience'!D28,FIND(CHAR(10)&amp;CHAR(10)&amp;"Purpose:",'L2-D System Resilience'!D28)-1),'L2-D System Resilience'!D28)</f>
        <v/>
      </c>
      <c r="C420" s="243">
        <f>"Validator's Guide: "&amp;'L2-D System Resilience'!E28&amp;CHAR(10)&amp;"Evidence: "&amp;'L2-D System Resilience'!F28</f>
        <v/>
      </c>
      <c r="D420" s="203" t="n"/>
      <c r="E420" s="203" t="n"/>
      <c r="F420" s="204" t="n"/>
    </row>
    <row r="421" ht="56" customHeight="1" s="125">
      <c r="A421" s="238">
        <f>'L2-D System Resilience'!A29</f>
        <v/>
      </c>
      <c r="B421" s="239">
        <f>'L2-D System Resilience'!C29&amp;CHAR(10)&amp;"["&amp;'L2-D System Resilience'!B29&amp;" · "&amp;'L2-D System Resilience'!G29&amp;"]"</f>
        <v/>
      </c>
      <c r="C421" s="240">
        <f>IF('L2-D System Resilience'!I29=0,"Info only",IF('L2-D System Resilience'!H29="Yes","★ CRITICAL"&amp;CHAR(10),IF('L2-D System Resilience'!H29="★ subs","★ critical sub-items"&amp;CHAR(10),""))&amp;'L2-D System Resilience'!J29&amp;" · W"&amp;'L2-D System Resilience'!I29)</f>
        <v/>
      </c>
      <c r="D421" s="226">
        <f>IF('L2-D System Resilience'!I29=0,"— Not scored",IF('L2-D System Resilience'!J29="Tier",IF('L2-D System Resilience'!M29="Fully integrated","✓ FULLY INTEGRATED",IF('L2-D System Resilience'!M29="Not Met","✗ NOT MET",IF('L2-D System Resilience'!M29="Not Tested","○ NOT TESTED","◐ "&amp;UPPER('L2-D System Resilience'!M29)))),IF('L2-D System Resilience'!M29="Met","✓ MET",IF('L2-D System Resilience'!M29="Not Met","✗ NOT MET",IF('L2-D System Resilience'!M29="N/A","— N/A",IF('L2-D System Resilience'!M29="Counted",IF(AND('L2-D System Resilience'!N29&gt;=1,'L2-D System Resilience'!S29=0),"✓ MET",IF('L2-D System Resilience'!J29="All-or-nothing","✗ NOT MET",IF('L2-D System Resilience'!S29=1,"✗ NOT MET (★)","◐ PARTIAL")))&amp;CHAR(10)&amp;"("&amp;'L2-D System Resilience'!L29&amp;" of "&amp;'L2-D System Resilience'!K29&amp;")","○ NOT TESTED"))))))</f>
        <v/>
      </c>
      <c r="E421" s="241">
        <f>IF('L2-D System Resilience'!N29="","—",'L2-D System Resilience'!N29)</f>
        <v/>
      </c>
      <c r="F421" s="223">
        <f>'L2-D System Resilience'!O29&amp;IF('L2-D System Resilience'!P29&lt;&gt;"",CHAR(10)&amp;"Notes: "&amp;'L2-D System Resilience'!P29,"")</f>
        <v/>
      </c>
    </row>
    <row r="422" ht="268" customHeight="1" s="125">
      <c r="A422" s="242" t="n"/>
      <c r="B422" s="243">
        <f>"Developer's Guide: "&amp;IFERROR(LEFT('L2-D System Resilience'!D29,FIND(CHAR(10)&amp;CHAR(10)&amp;"Purpose:",'L2-D System Resilience'!D29)-1),'L2-D System Resilience'!D29)</f>
        <v/>
      </c>
      <c r="C422" s="243">
        <f>"Validator's Guide: "&amp;'L2-D System Resilience'!E29&amp;CHAR(10)&amp;"Evidence: "&amp;'L2-D System Resilience'!F29</f>
        <v/>
      </c>
      <c r="D422" s="203" t="n"/>
      <c r="E422" s="203" t="n"/>
      <c r="F422" s="204" t="n"/>
    </row>
    <row r="423" ht="56" customHeight="1" s="125">
      <c r="A423" s="238">
        <f>'L2-D System Resilience'!A30</f>
        <v/>
      </c>
      <c r="B423" s="239">
        <f>'L2-D System Resilience'!C30&amp;CHAR(10)&amp;"["&amp;'L2-D System Resilience'!B30&amp;" · "&amp;'L2-D System Resilience'!G30&amp;"]"</f>
        <v/>
      </c>
      <c r="C423" s="240">
        <f>IF('L2-D System Resilience'!I30=0,"Info only",IF('L2-D System Resilience'!H30="Yes","★ CRITICAL"&amp;CHAR(10),IF('L2-D System Resilience'!H30="★ subs","★ critical sub-items"&amp;CHAR(10),""))&amp;'L2-D System Resilience'!J30&amp;" · W"&amp;'L2-D System Resilience'!I30)</f>
        <v/>
      </c>
      <c r="D423" s="226">
        <f>IF('L2-D System Resilience'!I30=0,"— Not scored",IF('L2-D System Resilience'!J30="Tier",IF('L2-D System Resilience'!M30="Fully integrated","✓ FULLY INTEGRATED",IF('L2-D System Resilience'!M30="Not Met","✗ NOT MET",IF('L2-D System Resilience'!M30="Not Tested","○ NOT TESTED","◐ "&amp;UPPER('L2-D System Resilience'!M30)))),IF('L2-D System Resilience'!M30="Met","✓ MET",IF('L2-D System Resilience'!M30="Not Met","✗ NOT MET",IF('L2-D System Resilience'!M30="N/A","— N/A",IF('L2-D System Resilience'!M30="Counted",IF(AND('L2-D System Resilience'!N30&gt;=1,'L2-D System Resilience'!S30=0),"✓ MET",IF('L2-D System Resilience'!J30="All-or-nothing","✗ NOT MET",IF('L2-D System Resilience'!S30=1,"✗ NOT MET (★)","◐ PARTIAL")))&amp;CHAR(10)&amp;"("&amp;'L2-D System Resilience'!L30&amp;" of "&amp;'L2-D System Resilience'!K30&amp;")","○ NOT TESTED"))))))</f>
        <v/>
      </c>
      <c r="E423" s="241">
        <f>IF('L2-D System Resilience'!N30="","—",'L2-D System Resilience'!N30)</f>
        <v/>
      </c>
      <c r="F423" s="223">
        <f>'L2-D System Resilience'!O30&amp;IF('L2-D System Resilience'!P30&lt;&gt;"",CHAR(10)&amp;"Notes: "&amp;'L2-D System Resilience'!P30,"")</f>
        <v/>
      </c>
    </row>
    <row r="424" ht="292" customHeight="1" s="125">
      <c r="A424" s="242" t="n"/>
      <c r="B424" s="243">
        <f>"Developer's Guide: "&amp;IFERROR(LEFT('L2-D System Resilience'!D30,FIND(CHAR(10)&amp;CHAR(10)&amp;"Purpose:",'L2-D System Resilience'!D30)-1),'L2-D System Resilience'!D30)</f>
        <v/>
      </c>
      <c r="C424" s="243">
        <f>"Validator's Guide: "&amp;'L2-D System Resilience'!E30&amp;CHAR(10)&amp;"Evidence: "&amp;'L2-D System Resilience'!F30</f>
        <v/>
      </c>
      <c r="D424" s="203" t="n"/>
      <c r="E424" s="203" t="n"/>
      <c r="F424" s="204" t="n"/>
    </row>
    <row r="425" ht="69" customHeight="1" s="125">
      <c r="A425" s="238">
        <f>'L2-D System Resilience'!A31</f>
        <v/>
      </c>
      <c r="B425" s="239">
        <f>'L2-D System Resilience'!C31&amp;CHAR(10)&amp;"["&amp;'L2-D System Resilience'!B31&amp;" · "&amp;'L2-D System Resilience'!G31&amp;"]"</f>
        <v/>
      </c>
      <c r="C425" s="240">
        <f>IF('L2-D System Resilience'!I31=0,"Info only",IF('L2-D System Resilience'!H31="Yes","★ CRITICAL"&amp;CHAR(10),IF('L2-D System Resilience'!H31="★ subs","★ critical sub-items"&amp;CHAR(10),""))&amp;'L2-D System Resilience'!J31&amp;" · W"&amp;'L2-D System Resilience'!I31)</f>
        <v/>
      </c>
      <c r="D425" s="226">
        <f>IF('L2-D System Resilience'!I31=0,"— Not scored",IF('L2-D System Resilience'!J31="Tier",IF('L2-D System Resilience'!M31="Fully integrated","✓ FULLY INTEGRATED",IF('L2-D System Resilience'!M31="Not Met","✗ NOT MET",IF('L2-D System Resilience'!M31="Not Tested","○ NOT TESTED","◐ "&amp;UPPER('L2-D System Resilience'!M31)))),IF('L2-D System Resilience'!M31="Met","✓ MET",IF('L2-D System Resilience'!M31="Not Met","✗ NOT MET",IF('L2-D System Resilience'!M31="N/A","— N/A",IF('L2-D System Resilience'!M31="Counted",IF(AND('L2-D System Resilience'!N31&gt;=1,'L2-D System Resilience'!S31=0),"✓ MET",IF('L2-D System Resilience'!J31="All-or-nothing","✗ NOT MET",IF('L2-D System Resilience'!S31=1,"✗ NOT MET (★)","◐ PARTIAL")))&amp;CHAR(10)&amp;"("&amp;'L2-D System Resilience'!L31&amp;" of "&amp;'L2-D System Resilience'!K31&amp;")","○ NOT TESTED"))))))</f>
        <v/>
      </c>
      <c r="E425" s="241">
        <f>IF('L2-D System Resilience'!N31="","—",'L2-D System Resilience'!N31)</f>
        <v/>
      </c>
      <c r="F425" s="223">
        <f>'L2-D System Resilience'!O31&amp;IF('L2-D System Resilience'!P31&lt;&gt;"",CHAR(10)&amp;"Notes: "&amp;'L2-D System Resilience'!P31,"")</f>
        <v/>
      </c>
    </row>
    <row r="426" ht="220" customHeight="1" s="125">
      <c r="A426" s="242" t="n"/>
      <c r="B426" s="243">
        <f>"Developer's Guide: "&amp;IFERROR(LEFT('L2-D System Resilience'!D31,FIND(CHAR(10)&amp;CHAR(10)&amp;"Purpose:",'L2-D System Resilience'!D31)-1),'L2-D System Resilience'!D31)</f>
        <v/>
      </c>
      <c r="C426" s="243">
        <f>"Validator's Guide: "&amp;'L2-D System Resilience'!E31&amp;CHAR(10)&amp;"Evidence: "&amp;'L2-D System Resilience'!F31</f>
        <v/>
      </c>
      <c r="D426" s="203" t="n"/>
      <c r="E426" s="203" t="n"/>
      <c r="F426" s="204" t="n"/>
    </row>
    <row r="427" ht="29" customHeight="1" s="125">
      <c r="A427" s="244">
        <f>'L2-D System Resilience'!A32</f>
        <v/>
      </c>
      <c r="B427" s="245">
        <f>"   ↳  "&amp;IF('L2-D System Resilience'!H32="Yes","★ ","")&amp;'L2-D System Resilience'!C32</f>
        <v/>
      </c>
      <c r="C427" s="204" t="n"/>
      <c r="D427" s="240">
        <f>IF('L2-D System Resilience'!M32="Met","✓ Met",IF('L2-D System Resilience'!M32="Not Met","✗ Not met",IF('L2-D System Resilience'!M32="N/A","— N/A","○ Not tested")))</f>
        <v/>
      </c>
      <c r="E427" s="245" t="n"/>
      <c r="F427" s="245">
        <f>IF('L2-D System Resilience'!P32&lt;&gt;"",'L2-D System Resilience'!P32,"")</f>
        <v/>
      </c>
    </row>
    <row r="428" ht="29" customHeight="1" s="125">
      <c r="A428" s="244">
        <f>'L2-D System Resilience'!A33</f>
        <v/>
      </c>
      <c r="B428" s="245">
        <f>"   ↳  "&amp;IF('L2-D System Resilience'!H33="Yes","★ ","")&amp;'L2-D System Resilience'!C33</f>
        <v/>
      </c>
      <c r="C428" s="204" t="n"/>
      <c r="D428" s="240">
        <f>IF('L2-D System Resilience'!M33="Met","✓ Met",IF('L2-D System Resilience'!M33="Not Met","✗ Not met",IF('L2-D System Resilience'!M33="N/A","— N/A","○ Not tested")))</f>
        <v/>
      </c>
      <c r="E428" s="245" t="n"/>
      <c r="F428" s="245">
        <f>IF('L2-D System Resilience'!P33&lt;&gt;"",'L2-D System Resilience'!P33,"")</f>
        <v/>
      </c>
    </row>
    <row r="429" ht="42" customHeight="1" s="125">
      <c r="A429" s="244">
        <f>'L2-D System Resilience'!A34</f>
        <v/>
      </c>
      <c r="B429" s="245">
        <f>"   ↳  "&amp;IF('L2-D System Resilience'!H34="Yes","★ ","")&amp;'L2-D System Resilience'!C34</f>
        <v/>
      </c>
      <c r="C429" s="204" t="n"/>
      <c r="D429" s="240">
        <f>IF('L2-D System Resilience'!M34="Met","✓ Met",IF('L2-D System Resilience'!M34="Not Met","✗ Not met",IF('L2-D System Resilience'!M34="N/A","— N/A","○ Not tested")))</f>
        <v/>
      </c>
      <c r="E429" s="245" t="n"/>
      <c r="F429" s="245">
        <f>IF('L2-D System Resilience'!P34&lt;&gt;"",'L2-D System Resilience'!P34,"")</f>
        <v/>
      </c>
    </row>
    <row r="430" ht="42" customHeight="1" s="125">
      <c r="A430" s="244">
        <f>'L2-D System Resilience'!A35</f>
        <v/>
      </c>
      <c r="B430" s="245">
        <f>"   ↳  "&amp;IF('L2-D System Resilience'!H35="Yes","★ ","")&amp;'L2-D System Resilience'!C35</f>
        <v/>
      </c>
      <c r="C430" s="204" t="n"/>
      <c r="D430" s="240">
        <f>IF('L2-D System Resilience'!M35="Met","✓ Met",IF('L2-D System Resilience'!M35="Not Met","✗ Not met",IF('L2-D System Resilience'!M35="N/A","— N/A","○ Not tested")))</f>
        <v/>
      </c>
      <c r="E430" s="245" t="n"/>
      <c r="F430" s="245">
        <f>IF('L2-D System Resilience'!P35&lt;&gt;"",'L2-D System Resilience'!P35,"")</f>
        <v/>
      </c>
    </row>
    <row r="431" ht="29" customHeight="1" s="125">
      <c r="A431" s="244">
        <f>'L2-D System Resilience'!A36</f>
        <v/>
      </c>
      <c r="B431" s="245">
        <f>"   ↳  "&amp;IF('L2-D System Resilience'!H36="Yes","★ ","")&amp;'L2-D System Resilience'!C36</f>
        <v/>
      </c>
      <c r="C431" s="204" t="n"/>
      <c r="D431" s="240">
        <f>IF('L2-D System Resilience'!M36="Met","✓ Met",IF('L2-D System Resilience'!M36="Not Met","✗ Not met",IF('L2-D System Resilience'!M36="N/A","— N/A","○ Not tested")))</f>
        <v/>
      </c>
      <c r="E431" s="245" t="n"/>
      <c r="F431" s="245">
        <f>IF('L2-D System Resilience'!P36&lt;&gt;"",'L2-D System Resilience'!P36,"")</f>
        <v/>
      </c>
    </row>
    <row r="432" ht="69" customHeight="1" s="125">
      <c r="A432" s="238">
        <f>'L2-D System Resilience'!A37</f>
        <v/>
      </c>
      <c r="B432" s="239">
        <f>'L2-D System Resilience'!C37&amp;CHAR(10)&amp;"["&amp;'L2-D System Resilience'!B37&amp;" · "&amp;'L2-D System Resilience'!G37&amp;"]"</f>
        <v/>
      </c>
      <c r="C432" s="240">
        <f>IF('L2-D System Resilience'!I37=0,"Info only",IF('L2-D System Resilience'!H37="Yes","★ CRITICAL"&amp;CHAR(10),IF('L2-D System Resilience'!H37="★ subs","★ critical sub-items"&amp;CHAR(10),""))&amp;'L2-D System Resilience'!J37&amp;" · W"&amp;'L2-D System Resilience'!I37)</f>
        <v/>
      </c>
      <c r="D432" s="226">
        <f>IF('L2-D System Resilience'!I37=0,"— Not scored",IF('L2-D System Resilience'!J37="Tier",IF('L2-D System Resilience'!M37="Fully integrated","✓ FULLY INTEGRATED",IF('L2-D System Resilience'!M37="Not Met","✗ NOT MET",IF('L2-D System Resilience'!M37="Not Tested","○ NOT TESTED","◐ "&amp;UPPER('L2-D System Resilience'!M37)))),IF('L2-D System Resilience'!M37="Met","✓ MET",IF('L2-D System Resilience'!M37="Not Met","✗ NOT MET",IF('L2-D System Resilience'!M37="N/A","— N/A",IF('L2-D System Resilience'!M37="Counted",IF(AND('L2-D System Resilience'!N37&gt;=1,'L2-D System Resilience'!S37=0),"✓ MET",IF('L2-D System Resilience'!J37="All-or-nothing","✗ NOT MET",IF('L2-D System Resilience'!S37=1,"✗ NOT MET (★)","◐ PARTIAL")))&amp;CHAR(10)&amp;"("&amp;'L2-D System Resilience'!L37&amp;" of "&amp;'L2-D System Resilience'!K37&amp;")","○ NOT TESTED"))))))</f>
        <v/>
      </c>
      <c r="E432" s="241">
        <f>IF('L2-D System Resilience'!N37="","—",'L2-D System Resilience'!N37)</f>
        <v/>
      </c>
      <c r="F432" s="223">
        <f>'L2-D System Resilience'!O37&amp;IF('L2-D System Resilience'!P37&lt;&gt;"",CHAR(10)&amp;"Notes: "&amp;'L2-D System Resilience'!P37,"")</f>
        <v/>
      </c>
    </row>
    <row r="433" ht="124" customHeight="1" s="125">
      <c r="A433" s="242" t="n"/>
      <c r="B433" s="243">
        <f>"Developer's Guide: "&amp;IFERROR(LEFT('L2-D System Resilience'!D37,FIND(CHAR(10)&amp;CHAR(10)&amp;"Purpose:",'L2-D System Resilience'!D37)-1),'L2-D System Resilience'!D37)</f>
        <v/>
      </c>
      <c r="C433" s="243">
        <f>"Validator's Guide: "&amp;'L2-D System Resilience'!E37&amp;CHAR(10)&amp;"Evidence: "&amp;'L2-D System Resilience'!F37</f>
        <v/>
      </c>
      <c r="D433" s="203" t="n"/>
      <c r="E433" s="203" t="n"/>
      <c r="F433" s="204" t="n"/>
    </row>
    <row r="434" ht="29" customHeight="1" s="125">
      <c r="A434" s="244">
        <f>'L2-D System Resilience'!A38</f>
        <v/>
      </c>
      <c r="B434" s="245">
        <f>"   ↳  "&amp;IF('L2-D System Resilience'!H38="Yes","★ ","")&amp;'L2-D System Resilience'!C38</f>
        <v/>
      </c>
      <c r="C434" s="204" t="n"/>
      <c r="D434" s="240">
        <f>IF('L2-D System Resilience'!M38="Met","✓ Met",IF('L2-D System Resilience'!M38="Not Met","✗ Not met",IF('L2-D System Resilience'!M38="N/A","— N/A","○ Not tested")))</f>
        <v/>
      </c>
      <c r="E434" s="245" t="n"/>
      <c r="F434" s="245">
        <f>IF('L2-D System Resilience'!P38&lt;&gt;"",'L2-D System Resilience'!P38,"")</f>
        <v/>
      </c>
    </row>
    <row r="435" ht="29" customHeight="1" s="125">
      <c r="A435" s="244">
        <f>'L2-D System Resilience'!A39</f>
        <v/>
      </c>
      <c r="B435" s="245">
        <f>"   ↳  "&amp;IF('L2-D System Resilience'!H39="Yes","★ ","")&amp;'L2-D System Resilience'!C39</f>
        <v/>
      </c>
      <c r="C435" s="204" t="n"/>
      <c r="D435" s="240">
        <f>IF('L2-D System Resilience'!M39="Met","✓ Met",IF('L2-D System Resilience'!M39="Not Met","✗ Not met",IF('L2-D System Resilience'!M39="N/A","— N/A","○ Not tested")))</f>
        <v/>
      </c>
      <c r="E435" s="245" t="n"/>
      <c r="F435" s="245">
        <f>IF('L2-D System Resilience'!P39&lt;&gt;"",'L2-D System Resilience'!P39,"")</f>
        <v/>
      </c>
    </row>
    <row r="436" ht="29" customHeight="1" s="125">
      <c r="A436" s="244">
        <f>'L2-D System Resilience'!A40</f>
        <v/>
      </c>
      <c r="B436" s="245">
        <f>"   ↳  "&amp;IF('L2-D System Resilience'!H40="Yes","★ ","")&amp;'L2-D System Resilience'!C40</f>
        <v/>
      </c>
      <c r="C436" s="204" t="n"/>
      <c r="D436" s="240">
        <f>IF('L2-D System Resilience'!M40="Met","✓ Met",IF('L2-D System Resilience'!M40="Not Met","✗ Not met",IF('L2-D System Resilience'!M40="N/A","— N/A","○ Not tested")))</f>
        <v/>
      </c>
      <c r="E436" s="245" t="n"/>
      <c r="F436" s="245">
        <f>IF('L2-D System Resilience'!P40&lt;&gt;"",'L2-D System Resilience'!P40,"")</f>
        <v/>
      </c>
    </row>
    <row r="437" ht="56" customHeight="1" s="125">
      <c r="A437" s="238">
        <f>'L2-D System Resilience'!A41</f>
        <v/>
      </c>
      <c r="B437" s="239">
        <f>'L2-D System Resilience'!C41&amp;CHAR(10)&amp;"["&amp;'L2-D System Resilience'!B41&amp;" · "&amp;'L2-D System Resilience'!G41&amp;"]"</f>
        <v/>
      </c>
      <c r="C437" s="240">
        <f>IF('L2-D System Resilience'!I41=0,"Info only",IF('L2-D System Resilience'!H41="Yes","★ CRITICAL"&amp;CHAR(10),IF('L2-D System Resilience'!H41="★ subs","★ critical sub-items"&amp;CHAR(10),""))&amp;'L2-D System Resilience'!J41&amp;" · W"&amp;'L2-D System Resilience'!I41)</f>
        <v/>
      </c>
      <c r="D437" s="226">
        <f>IF('L2-D System Resilience'!I41=0,"— Not scored",IF('L2-D System Resilience'!J41="Tier",IF('L2-D System Resilience'!M41="Fully integrated","✓ FULLY INTEGRATED",IF('L2-D System Resilience'!M41="Not Met","✗ NOT MET",IF('L2-D System Resilience'!M41="Not Tested","○ NOT TESTED","◐ "&amp;UPPER('L2-D System Resilience'!M41)))),IF('L2-D System Resilience'!M41="Met","✓ MET",IF('L2-D System Resilience'!M41="Not Met","✗ NOT MET",IF('L2-D System Resilience'!M41="N/A","— N/A",IF('L2-D System Resilience'!M41="Counted",IF(AND('L2-D System Resilience'!N41&gt;=1,'L2-D System Resilience'!S41=0),"✓ MET",IF('L2-D System Resilience'!J41="All-or-nothing","✗ NOT MET",IF('L2-D System Resilience'!S41=1,"✗ NOT MET (★)","◐ PARTIAL")))&amp;CHAR(10)&amp;"("&amp;'L2-D System Resilience'!L41&amp;" of "&amp;'L2-D System Resilience'!K41&amp;")","○ NOT TESTED"))))))</f>
        <v/>
      </c>
      <c r="E437" s="241">
        <f>IF('L2-D System Resilience'!N41="","—",'L2-D System Resilience'!N41)</f>
        <v/>
      </c>
      <c r="F437" s="223">
        <f>'L2-D System Resilience'!O41&amp;IF('L2-D System Resilience'!P41&lt;&gt;"",CHAR(10)&amp;"Notes: "&amp;'L2-D System Resilience'!P41,"")</f>
        <v/>
      </c>
    </row>
    <row r="438" ht="124" customHeight="1" s="125">
      <c r="A438" s="242" t="n"/>
      <c r="B438" s="243">
        <f>"Developer's Guide: "&amp;IFERROR(LEFT('L2-D System Resilience'!D41,FIND(CHAR(10)&amp;CHAR(10)&amp;"Purpose:",'L2-D System Resilience'!D41)-1),'L2-D System Resilience'!D41)</f>
        <v/>
      </c>
      <c r="C438" s="243">
        <f>"Validator's Guide: "&amp;'L2-D System Resilience'!E41&amp;CHAR(10)&amp;"Evidence: "&amp;'L2-D System Resilience'!F41</f>
        <v/>
      </c>
      <c r="D438" s="203" t="n"/>
      <c r="E438" s="203" t="n"/>
      <c r="F438" s="204" t="n"/>
    </row>
    <row r="439" ht="29" customHeight="1" s="125">
      <c r="A439" s="244">
        <f>'L2-D System Resilience'!A42</f>
        <v/>
      </c>
      <c r="B439" s="245">
        <f>"   ↳  "&amp;IF('L2-D System Resilience'!H42="Yes","★ ","")&amp;'L2-D System Resilience'!C42</f>
        <v/>
      </c>
      <c r="C439" s="204" t="n"/>
      <c r="D439" s="240">
        <f>IF('L2-D System Resilience'!M42="Met","✓ Met",IF('L2-D System Resilience'!M42="Not Met","✗ Not met",IF('L2-D System Resilience'!M42="N/A","— N/A","○ Not tested")))</f>
        <v/>
      </c>
      <c r="E439" s="245" t="n"/>
      <c r="F439" s="245">
        <f>IF('L2-D System Resilience'!P42&lt;&gt;"",'L2-D System Resilience'!P42,"")</f>
        <v/>
      </c>
    </row>
    <row r="440" ht="29" customHeight="1" s="125">
      <c r="A440" s="244">
        <f>'L2-D System Resilience'!A43</f>
        <v/>
      </c>
      <c r="B440" s="245">
        <f>"   ↳  "&amp;IF('L2-D System Resilience'!H43="Yes","★ ","")&amp;'L2-D System Resilience'!C43</f>
        <v/>
      </c>
      <c r="C440" s="204" t="n"/>
      <c r="D440" s="240">
        <f>IF('L2-D System Resilience'!M43="Met","✓ Met",IF('L2-D System Resilience'!M43="Not Met","✗ Not met",IF('L2-D System Resilience'!M43="N/A","— N/A","○ Not tested")))</f>
        <v/>
      </c>
      <c r="E440" s="245" t="n"/>
      <c r="F440" s="245">
        <f>IF('L2-D System Resilience'!P43&lt;&gt;"",'L2-D System Resilience'!P43,"")</f>
        <v/>
      </c>
    </row>
    <row r="441" ht="29" customHeight="1" s="125">
      <c r="A441" s="244">
        <f>'L2-D System Resilience'!A44</f>
        <v/>
      </c>
      <c r="B441" s="245">
        <f>"   ↳  "&amp;IF('L2-D System Resilience'!H44="Yes","★ ","")&amp;'L2-D System Resilience'!C44</f>
        <v/>
      </c>
      <c r="C441" s="204" t="n"/>
      <c r="D441" s="240">
        <f>IF('L2-D System Resilience'!M44="Met","✓ Met",IF('L2-D System Resilience'!M44="Not Met","✗ Not met",IF('L2-D System Resilience'!M44="N/A","— N/A","○ Not tested")))</f>
        <v/>
      </c>
      <c r="E441" s="245" t="n"/>
      <c r="F441" s="245">
        <f>IF('L2-D System Resilience'!P44&lt;&gt;"",'L2-D System Resilience'!P44,"")</f>
        <v/>
      </c>
    </row>
    <row r="442" ht="43" customHeight="1" s="125">
      <c r="A442" s="238">
        <f>'L2-D System Resilience'!A45</f>
        <v/>
      </c>
      <c r="B442" s="239">
        <f>'L2-D System Resilience'!C45&amp;CHAR(10)&amp;"["&amp;'L2-D System Resilience'!B45&amp;" · "&amp;'L2-D System Resilience'!G45&amp;"]"</f>
        <v/>
      </c>
      <c r="C442" s="240">
        <f>IF('L2-D System Resilience'!I45=0,"Info only",IF('L2-D System Resilience'!H45="Yes","★ CRITICAL"&amp;CHAR(10),IF('L2-D System Resilience'!H45="★ subs","★ critical sub-items"&amp;CHAR(10),""))&amp;'L2-D System Resilience'!J45&amp;" · W"&amp;'L2-D System Resilience'!I45)</f>
        <v/>
      </c>
      <c r="D442" s="226">
        <f>IF('L2-D System Resilience'!I45=0,"— Not scored",IF('L2-D System Resilience'!J45="Tier",IF('L2-D System Resilience'!M45="Fully integrated","✓ FULLY INTEGRATED",IF('L2-D System Resilience'!M45="Not Met","✗ NOT MET",IF('L2-D System Resilience'!M45="Not Tested","○ NOT TESTED","◐ "&amp;UPPER('L2-D System Resilience'!M45)))),IF('L2-D System Resilience'!M45="Met","✓ MET",IF('L2-D System Resilience'!M45="Not Met","✗ NOT MET",IF('L2-D System Resilience'!M45="N/A","— N/A",IF('L2-D System Resilience'!M45="Counted",IF(AND('L2-D System Resilience'!N45&gt;=1,'L2-D System Resilience'!S45=0),"✓ MET",IF('L2-D System Resilience'!J45="All-or-nothing","✗ NOT MET",IF('L2-D System Resilience'!S45=1,"✗ NOT MET (★)","◐ PARTIAL")))&amp;CHAR(10)&amp;"("&amp;'L2-D System Resilience'!L45&amp;" of "&amp;'L2-D System Resilience'!K45&amp;")","○ NOT TESTED"))))))</f>
        <v/>
      </c>
      <c r="E442" s="241">
        <f>IF('L2-D System Resilience'!N45="","—",'L2-D System Resilience'!N45)</f>
        <v/>
      </c>
      <c r="F442" s="223">
        <f>'L2-D System Resilience'!O45&amp;IF('L2-D System Resilience'!P45&lt;&gt;"",CHAR(10)&amp;"Notes: "&amp;'L2-D System Resilience'!P45,"")</f>
        <v/>
      </c>
    </row>
    <row r="443" ht="100" customHeight="1" s="125">
      <c r="A443" s="242" t="n"/>
      <c r="B443" s="243">
        <f>"Developer's Guide: "&amp;IFERROR(LEFT('L2-D System Resilience'!D45,FIND(CHAR(10)&amp;CHAR(10)&amp;"Purpose:",'L2-D System Resilience'!D45)-1),'L2-D System Resilience'!D45)</f>
        <v/>
      </c>
      <c r="C443" s="243">
        <f>"Validator's Guide: "&amp;'L2-D System Resilience'!E45&amp;CHAR(10)&amp;"Evidence: "&amp;'L2-D System Resilience'!F45</f>
        <v/>
      </c>
      <c r="D443" s="203" t="n"/>
      <c r="E443" s="203" t="n"/>
      <c r="F443" s="204" t="n"/>
    </row>
    <row r="444" ht="29" customHeight="1" s="125">
      <c r="A444" s="244">
        <f>'L2-D System Resilience'!A46</f>
        <v/>
      </c>
      <c r="B444" s="245">
        <f>"   ↳  "&amp;IF('L2-D System Resilience'!H46="Yes","★ ","")&amp;'L2-D System Resilience'!C46</f>
        <v/>
      </c>
      <c r="C444" s="204" t="n"/>
      <c r="D444" s="240">
        <f>IF('L2-D System Resilience'!M46="Met","✓ Met",IF('L2-D System Resilience'!M46="Not Met","✗ Not met",IF('L2-D System Resilience'!M46="N/A","— N/A","○ Not tested")))</f>
        <v/>
      </c>
      <c r="E444" s="245" t="n"/>
      <c r="F444" s="245">
        <f>IF('L2-D System Resilience'!P46&lt;&gt;"",'L2-D System Resilience'!P46,"")</f>
        <v/>
      </c>
    </row>
    <row r="445" ht="16" customHeight="1" s="125">
      <c r="A445" s="244">
        <f>'L2-D System Resilience'!A47</f>
        <v/>
      </c>
      <c r="B445" s="245">
        <f>"   ↳  "&amp;IF('L2-D System Resilience'!H47="Yes","★ ","")&amp;'L2-D System Resilience'!C47</f>
        <v/>
      </c>
      <c r="C445" s="204" t="n"/>
      <c r="D445" s="240">
        <f>IF('L2-D System Resilience'!M47="Met","✓ Met",IF('L2-D System Resilience'!M47="Not Met","✗ Not met",IF('L2-D System Resilience'!M47="N/A","— N/A","○ Not tested")))</f>
        <v/>
      </c>
      <c r="E445" s="245" t="n"/>
      <c r="F445" s="245">
        <f>IF('L2-D System Resilience'!P47&lt;&gt;"",'L2-D System Resilience'!P47,"")</f>
        <v/>
      </c>
    </row>
    <row r="446" ht="29" customHeight="1" s="125">
      <c r="A446" s="244">
        <f>'L2-D System Resilience'!A48</f>
        <v/>
      </c>
      <c r="B446" s="245">
        <f>"   ↳  "&amp;IF('L2-D System Resilience'!H48="Yes","★ ","")&amp;'L2-D System Resilience'!C48</f>
        <v/>
      </c>
      <c r="C446" s="204" t="n"/>
      <c r="D446" s="240">
        <f>IF('L2-D System Resilience'!M48="Met","✓ Met",IF('L2-D System Resilience'!M48="Not Met","✗ Not met",IF('L2-D System Resilience'!M48="N/A","— N/A","○ Not tested")))</f>
        <v/>
      </c>
      <c r="E446" s="245" t="n"/>
      <c r="F446" s="245">
        <f>IF('L2-D System Resilience'!P48&lt;&gt;"",'L2-D System Resilience'!P48,"")</f>
        <v/>
      </c>
    </row>
    <row r="447" ht="29" customHeight="1" s="125">
      <c r="A447" s="244">
        <f>'L2-D System Resilience'!A49</f>
        <v/>
      </c>
      <c r="B447" s="245">
        <f>"   ↳  "&amp;IF('L2-D System Resilience'!H49="Yes","★ ","")&amp;'L2-D System Resilience'!C49</f>
        <v/>
      </c>
      <c r="C447" s="204" t="n"/>
      <c r="D447" s="240">
        <f>IF('L2-D System Resilience'!M49="Met","✓ Met",IF('L2-D System Resilience'!M49="Not Met","✗ Not met",IF('L2-D System Resilience'!M49="N/A","— N/A","○ Not tested")))</f>
        <v/>
      </c>
      <c r="E447" s="245" t="n"/>
      <c r="F447" s="245">
        <f>IF('L2-D System Resilience'!P49&lt;&gt;"",'L2-D System Resilience'!P49,"")</f>
        <v/>
      </c>
    </row>
    <row r="448" ht="56" customHeight="1" s="125">
      <c r="A448" s="238">
        <f>'L2-D System Resilience'!A50</f>
        <v/>
      </c>
      <c r="B448" s="239">
        <f>'L2-D System Resilience'!C50&amp;CHAR(10)&amp;"["&amp;'L2-D System Resilience'!B50&amp;" · "&amp;'L2-D System Resilience'!G50&amp;"]"</f>
        <v/>
      </c>
      <c r="C448" s="240">
        <f>IF('L2-D System Resilience'!I50=0,"Info only",IF('L2-D System Resilience'!H50="Yes","★ CRITICAL"&amp;CHAR(10),IF('L2-D System Resilience'!H50="★ subs","★ critical sub-items"&amp;CHAR(10),""))&amp;'L2-D System Resilience'!J50&amp;" · W"&amp;'L2-D System Resilience'!I50)</f>
        <v/>
      </c>
      <c r="D448" s="226">
        <f>IF('L2-D System Resilience'!I50=0,"— Not scored",IF('L2-D System Resilience'!J50="Tier",IF('L2-D System Resilience'!M50="Fully integrated","✓ FULLY INTEGRATED",IF('L2-D System Resilience'!M50="Not Met","✗ NOT MET",IF('L2-D System Resilience'!M50="Not Tested","○ NOT TESTED","◐ "&amp;UPPER('L2-D System Resilience'!M50)))),IF('L2-D System Resilience'!M50="Met","✓ MET",IF('L2-D System Resilience'!M50="Not Met","✗ NOT MET",IF('L2-D System Resilience'!M50="N/A","— N/A",IF('L2-D System Resilience'!M50="Counted",IF(AND('L2-D System Resilience'!N50&gt;=1,'L2-D System Resilience'!S50=0),"✓ MET",IF('L2-D System Resilience'!J50="All-or-nothing","✗ NOT MET",IF('L2-D System Resilience'!S50=1,"✗ NOT MET (★)","◐ PARTIAL")))&amp;CHAR(10)&amp;"("&amp;'L2-D System Resilience'!L50&amp;" of "&amp;'L2-D System Resilience'!K50&amp;")","○ NOT TESTED"))))))</f>
        <v/>
      </c>
      <c r="E448" s="241">
        <f>IF('L2-D System Resilience'!N50="","—",'L2-D System Resilience'!N50)</f>
        <v/>
      </c>
      <c r="F448" s="223">
        <f>'L2-D System Resilience'!O50&amp;IF('L2-D System Resilience'!P50&lt;&gt;"",CHAR(10)&amp;"Notes: "&amp;'L2-D System Resilience'!P50,"")</f>
        <v/>
      </c>
    </row>
    <row r="449" ht="136" customHeight="1" s="125">
      <c r="A449" s="242" t="n"/>
      <c r="B449" s="243">
        <f>"Developer's Guide: "&amp;IFERROR(LEFT('L2-D System Resilience'!D50,FIND(CHAR(10)&amp;CHAR(10)&amp;"Purpose:",'L2-D System Resilience'!D50)-1),'L2-D System Resilience'!D50)</f>
        <v/>
      </c>
      <c r="C449" s="243">
        <f>"Validator's Guide: "&amp;'L2-D System Resilience'!E50&amp;CHAR(10)&amp;"Evidence: "&amp;'L2-D System Resilience'!F50</f>
        <v/>
      </c>
      <c r="D449" s="203" t="n"/>
      <c r="E449" s="203" t="n"/>
      <c r="F449" s="204" t="n"/>
    </row>
    <row r="450" ht="29" customHeight="1" s="125">
      <c r="A450" s="244">
        <f>'L2-D System Resilience'!A51</f>
        <v/>
      </c>
      <c r="B450" s="245">
        <f>"   ↳  "&amp;IF('L2-D System Resilience'!H51="Yes","★ ","")&amp;'L2-D System Resilience'!C51</f>
        <v/>
      </c>
      <c r="C450" s="204" t="n"/>
      <c r="D450" s="240">
        <f>IF('L2-D System Resilience'!M51="Met","✓ Met",IF('L2-D System Resilience'!M51="Not Met","✗ Not met",IF('L2-D System Resilience'!M51="N/A","— N/A","○ Not tested")))</f>
        <v/>
      </c>
      <c r="E450" s="245" t="n"/>
      <c r="F450" s="245">
        <f>IF('L2-D System Resilience'!P51&lt;&gt;"",'L2-D System Resilience'!P51,"")</f>
        <v/>
      </c>
    </row>
    <row r="451" ht="29" customHeight="1" s="125">
      <c r="A451" s="244">
        <f>'L2-D System Resilience'!A52</f>
        <v/>
      </c>
      <c r="B451" s="245">
        <f>"   ↳  "&amp;IF('L2-D System Resilience'!H52="Yes","★ ","")&amp;'L2-D System Resilience'!C52</f>
        <v/>
      </c>
      <c r="C451" s="204" t="n"/>
      <c r="D451" s="240">
        <f>IF('L2-D System Resilience'!M52="Met","✓ Met",IF('L2-D System Resilience'!M52="Not Met","✗ Not met",IF('L2-D System Resilience'!M52="N/A","— N/A","○ Not tested")))</f>
        <v/>
      </c>
      <c r="E451" s="245" t="n"/>
      <c r="F451" s="245">
        <f>IF('L2-D System Resilience'!P52&lt;&gt;"",'L2-D System Resilience'!P52,"")</f>
        <v/>
      </c>
    </row>
    <row r="452" ht="69" customHeight="1" s="125">
      <c r="A452" s="238">
        <f>'L2-D System Resilience'!A53</f>
        <v/>
      </c>
      <c r="B452" s="239">
        <f>'L2-D System Resilience'!C53&amp;CHAR(10)&amp;"["&amp;'L2-D System Resilience'!B53&amp;" · "&amp;'L2-D System Resilience'!G53&amp;"]"</f>
        <v/>
      </c>
      <c r="C452" s="240">
        <f>IF('L2-D System Resilience'!I53=0,"Info only",IF('L2-D System Resilience'!H53="Yes","★ CRITICAL"&amp;CHAR(10),IF('L2-D System Resilience'!H53="★ subs","★ critical sub-items"&amp;CHAR(10),""))&amp;'L2-D System Resilience'!J53&amp;" · W"&amp;'L2-D System Resilience'!I53)</f>
        <v/>
      </c>
      <c r="D452" s="226">
        <f>IF('L2-D System Resilience'!I53=0,"— Not scored",IF('L2-D System Resilience'!J53="Tier",IF('L2-D System Resilience'!M53="Fully integrated","✓ FULLY INTEGRATED",IF('L2-D System Resilience'!M53="Not Met","✗ NOT MET",IF('L2-D System Resilience'!M53="Not Tested","○ NOT TESTED","◐ "&amp;UPPER('L2-D System Resilience'!M53)))),IF('L2-D System Resilience'!M53="Met","✓ MET",IF('L2-D System Resilience'!M53="Not Met","✗ NOT MET",IF('L2-D System Resilience'!M53="N/A","— N/A",IF('L2-D System Resilience'!M53="Counted",IF(AND('L2-D System Resilience'!N53&gt;=1,'L2-D System Resilience'!S53=0),"✓ MET",IF('L2-D System Resilience'!J53="All-or-nothing","✗ NOT MET",IF('L2-D System Resilience'!S53=1,"✗ NOT MET (★)","◐ PARTIAL")))&amp;CHAR(10)&amp;"("&amp;'L2-D System Resilience'!L53&amp;" of "&amp;'L2-D System Resilience'!K53&amp;")","○ NOT TESTED"))))))</f>
        <v/>
      </c>
      <c r="E452" s="241">
        <f>IF('L2-D System Resilience'!N53="","—",'L2-D System Resilience'!N53)</f>
        <v/>
      </c>
      <c r="F452" s="223">
        <f>'L2-D System Resilience'!O53&amp;IF('L2-D System Resilience'!P53&lt;&gt;"",CHAR(10)&amp;"Notes: "&amp;'L2-D System Resilience'!P53,"")</f>
        <v/>
      </c>
    </row>
    <row r="453" ht="124" customHeight="1" s="125">
      <c r="A453" s="242" t="n"/>
      <c r="B453" s="243">
        <f>"Developer's Guide: "&amp;IFERROR(LEFT('L2-D System Resilience'!D53,FIND(CHAR(10)&amp;CHAR(10)&amp;"Purpose:",'L2-D System Resilience'!D53)-1),'L2-D System Resilience'!D53)</f>
        <v/>
      </c>
      <c r="C453" s="243">
        <f>"Validator's Guide: "&amp;'L2-D System Resilience'!E53&amp;CHAR(10)&amp;"Evidence: "&amp;'L2-D System Resilience'!F53</f>
        <v/>
      </c>
      <c r="D453" s="203" t="n"/>
      <c r="E453" s="203" t="n"/>
      <c r="F453" s="204" t="n"/>
    </row>
    <row r="454" ht="69" customHeight="1" s="125">
      <c r="A454" s="238">
        <f>'L2-D System Resilience'!A54</f>
        <v/>
      </c>
      <c r="B454" s="239">
        <f>'L2-D System Resilience'!C54&amp;CHAR(10)&amp;"["&amp;'L2-D System Resilience'!B54&amp;" · "&amp;'L2-D System Resilience'!G54&amp;"]"</f>
        <v/>
      </c>
      <c r="C454" s="240">
        <f>IF('L2-D System Resilience'!I54=0,"Info only",IF('L2-D System Resilience'!H54="Yes","★ CRITICAL"&amp;CHAR(10),IF('L2-D System Resilience'!H54="★ subs","★ critical sub-items"&amp;CHAR(10),""))&amp;'L2-D System Resilience'!J54&amp;" · W"&amp;'L2-D System Resilience'!I54)</f>
        <v/>
      </c>
      <c r="D454" s="226">
        <f>IF('L2-D System Resilience'!I54=0,"— Not scored",IF('L2-D System Resilience'!J54="Tier",IF('L2-D System Resilience'!M54="Fully integrated","✓ FULLY INTEGRATED",IF('L2-D System Resilience'!M54="Not Met","✗ NOT MET",IF('L2-D System Resilience'!M54="Not Tested","○ NOT TESTED","◐ "&amp;UPPER('L2-D System Resilience'!M54)))),IF('L2-D System Resilience'!M54="Met","✓ MET",IF('L2-D System Resilience'!M54="Not Met","✗ NOT MET",IF('L2-D System Resilience'!M54="N/A","— N/A",IF('L2-D System Resilience'!M54="Counted",IF(AND('L2-D System Resilience'!N54&gt;=1,'L2-D System Resilience'!S54=0),"✓ MET",IF('L2-D System Resilience'!J54="All-or-nothing","✗ NOT MET",IF('L2-D System Resilience'!S54=1,"✗ NOT MET (★)","◐ PARTIAL")))&amp;CHAR(10)&amp;"("&amp;'L2-D System Resilience'!L54&amp;" of "&amp;'L2-D System Resilience'!K54&amp;")","○ NOT TESTED"))))))</f>
        <v/>
      </c>
      <c r="E454" s="241">
        <f>IF('L2-D System Resilience'!N54="","—",'L2-D System Resilience'!N54)</f>
        <v/>
      </c>
      <c r="F454" s="223">
        <f>'L2-D System Resilience'!O54&amp;IF('L2-D System Resilience'!P54&lt;&gt;"",CHAR(10)&amp;"Notes: "&amp;'L2-D System Resilience'!P54,"")</f>
        <v/>
      </c>
    </row>
    <row r="455" ht="220" customHeight="1" s="125">
      <c r="A455" s="242" t="n"/>
      <c r="B455" s="243">
        <f>"Developer's Guide: "&amp;IFERROR(LEFT('L2-D System Resilience'!D54,FIND(CHAR(10)&amp;CHAR(10)&amp;"Purpose:",'L2-D System Resilience'!D54)-1),'L2-D System Resilience'!D54)</f>
        <v/>
      </c>
      <c r="C455" s="243">
        <f>"Validator's Guide: "&amp;'L2-D System Resilience'!E54&amp;CHAR(10)&amp;"Evidence: "&amp;'L2-D System Resilience'!F54</f>
        <v/>
      </c>
      <c r="D455" s="203" t="n"/>
      <c r="E455" s="203" t="n"/>
      <c r="F455" s="204" t="n"/>
    </row>
    <row r="456" ht="29" customHeight="1" s="125">
      <c r="A456" s="244">
        <f>'L2-D System Resilience'!A55</f>
        <v/>
      </c>
      <c r="B456" s="245">
        <f>"   ↳  "&amp;IF('L2-D System Resilience'!H55="Yes","★ ","")&amp;'L2-D System Resilience'!C55</f>
        <v/>
      </c>
      <c r="C456" s="204" t="n"/>
      <c r="D456" s="240">
        <f>IF('L2-D System Resilience'!M55="Met","✓ Met",IF('L2-D System Resilience'!M55="Not Met","✗ Not met",IF('L2-D System Resilience'!M55="N/A","— N/A","○ Not tested")))</f>
        <v/>
      </c>
      <c r="E456" s="245" t="n"/>
      <c r="F456" s="245">
        <f>IF('L2-D System Resilience'!P55&lt;&gt;"",'L2-D System Resilience'!P55,"")</f>
        <v/>
      </c>
    </row>
    <row r="457" ht="29" customHeight="1" s="125">
      <c r="A457" s="244">
        <f>'L2-D System Resilience'!A56</f>
        <v/>
      </c>
      <c r="B457" s="245">
        <f>"   ↳  "&amp;IF('L2-D System Resilience'!H56="Yes","★ ","")&amp;'L2-D System Resilience'!C56</f>
        <v/>
      </c>
      <c r="C457" s="204" t="n"/>
      <c r="D457" s="240">
        <f>IF('L2-D System Resilience'!M56="Met","✓ Met",IF('L2-D System Resilience'!M56="Not Met","✗ Not met",IF('L2-D System Resilience'!M56="N/A","— N/A","○ Not tested")))</f>
        <v/>
      </c>
      <c r="E457" s="245" t="n"/>
      <c r="F457" s="245">
        <f>IF('L2-D System Resilience'!P56&lt;&gt;"",'L2-D System Resilience'!P56,"")</f>
        <v/>
      </c>
    </row>
    <row r="458" ht="29" customHeight="1" s="125">
      <c r="A458" s="244">
        <f>'L2-D System Resilience'!A57</f>
        <v/>
      </c>
      <c r="B458" s="245">
        <f>"   ↳  "&amp;IF('L2-D System Resilience'!H57="Yes","★ ","")&amp;'L2-D System Resilience'!C57</f>
        <v/>
      </c>
      <c r="C458" s="204" t="n"/>
      <c r="D458" s="240">
        <f>IF('L2-D System Resilience'!M57="Met","✓ Met",IF('L2-D System Resilience'!M57="Not Met","✗ Not met",IF('L2-D System Resilience'!M57="N/A","— N/A","○ Not tested")))</f>
        <v/>
      </c>
      <c r="E458" s="245" t="n"/>
      <c r="F458" s="245">
        <f>IF('L2-D System Resilience'!P57&lt;&gt;"",'L2-D System Resilience'!P57,"")</f>
        <v/>
      </c>
    </row>
    <row r="459" ht="56" customHeight="1" s="125">
      <c r="A459" s="238">
        <f>'L2-D System Resilience'!A58</f>
        <v/>
      </c>
      <c r="B459" s="239">
        <f>'L2-D System Resilience'!C58&amp;CHAR(10)&amp;"["&amp;'L2-D System Resilience'!B58&amp;" · "&amp;'L2-D System Resilience'!G58&amp;"]"</f>
        <v/>
      </c>
      <c r="C459" s="240">
        <f>IF('L2-D System Resilience'!I58=0,"Info only",IF('L2-D System Resilience'!H58="Yes","★ CRITICAL"&amp;CHAR(10),IF('L2-D System Resilience'!H58="★ subs","★ critical sub-items"&amp;CHAR(10),""))&amp;'L2-D System Resilience'!J58&amp;" · W"&amp;'L2-D System Resilience'!I58)</f>
        <v/>
      </c>
      <c r="D459" s="226">
        <f>IF('L2-D System Resilience'!I58=0,"— Not scored",IF('L2-D System Resilience'!J58="Tier",IF('L2-D System Resilience'!M58="Fully integrated","✓ FULLY INTEGRATED",IF('L2-D System Resilience'!M58="Not Met","✗ NOT MET",IF('L2-D System Resilience'!M58="Not Tested","○ NOT TESTED","◐ "&amp;UPPER('L2-D System Resilience'!M58)))),IF('L2-D System Resilience'!M58="Met","✓ MET",IF('L2-D System Resilience'!M58="Not Met","✗ NOT MET",IF('L2-D System Resilience'!M58="N/A","— N/A",IF('L2-D System Resilience'!M58="Counted",IF(AND('L2-D System Resilience'!N58&gt;=1,'L2-D System Resilience'!S58=0),"✓ MET",IF('L2-D System Resilience'!J58="All-or-nothing","✗ NOT MET",IF('L2-D System Resilience'!S58=1,"✗ NOT MET (★)","◐ PARTIAL")))&amp;CHAR(10)&amp;"("&amp;'L2-D System Resilience'!L58&amp;" of "&amp;'L2-D System Resilience'!K58&amp;")","○ NOT TESTED"))))))</f>
        <v/>
      </c>
      <c r="E459" s="241">
        <f>IF('L2-D System Resilience'!N58="","—",'L2-D System Resilience'!N58)</f>
        <v/>
      </c>
      <c r="F459" s="223">
        <f>'L2-D System Resilience'!O58&amp;IF('L2-D System Resilience'!P58&lt;&gt;"",CHAR(10)&amp;"Notes: "&amp;'L2-D System Resilience'!P58,"")</f>
        <v/>
      </c>
    </row>
    <row r="460" ht="160" customHeight="1" s="125">
      <c r="A460" s="242" t="n"/>
      <c r="B460" s="243">
        <f>"Developer's Guide: "&amp;IFERROR(LEFT('L2-D System Resilience'!D58,FIND(CHAR(10)&amp;CHAR(10)&amp;"Purpose:",'L2-D System Resilience'!D58)-1),'L2-D System Resilience'!D58)</f>
        <v/>
      </c>
      <c r="C460" s="243">
        <f>"Validator's Guide: "&amp;'L2-D System Resilience'!E58&amp;CHAR(10)&amp;"Evidence: "&amp;'L2-D System Resilience'!F58</f>
        <v/>
      </c>
      <c r="D460" s="203" t="n"/>
      <c r="E460" s="203" t="n"/>
      <c r="F460" s="204" t="n"/>
    </row>
    <row r="461" ht="29" customHeight="1" s="125">
      <c r="A461" s="244">
        <f>'L2-D System Resilience'!A59</f>
        <v/>
      </c>
      <c r="B461" s="245">
        <f>"   ↳  "&amp;IF('L2-D System Resilience'!H59="Yes","★ ","")&amp;'L2-D System Resilience'!C59</f>
        <v/>
      </c>
      <c r="C461" s="204" t="n"/>
      <c r="D461" s="240">
        <f>IF('L2-D System Resilience'!M59="Met","✓ Met",IF('L2-D System Resilience'!M59="Not Met","✗ Not met",IF('L2-D System Resilience'!M59="N/A","— N/A","○ Not tested")))</f>
        <v/>
      </c>
      <c r="E461" s="245" t="n"/>
      <c r="F461" s="245">
        <f>IF('L2-D System Resilience'!P59&lt;&gt;"",'L2-D System Resilience'!P59,"")</f>
        <v/>
      </c>
    </row>
    <row r="462" ht="29" customHeight="1" s="125">
      <c r="A462" s="244">
        <f>'L2-D System Resilience'!A60</f>
        <v/>
      </c>
      <c r="B462" s="245">
        <f>"   ↳  "&amp;IF('L2-D System Resilience'!H60="Yes","★ ","")&amp;'L2-D System Resilience'!C60</f>
        <v/>
      </c>
      <c r="C462" s="204" t="n"/>
      <c r="D462" s="240">
        <f>IF('L2-D System Resilience'!M60="Met","✓ Met",IF('L2-D System Resilience'!M60="Not Met","✗ Not met",IF('L2-D System Resilience'!M60="N/A","— N/A","○ Not tested")))</f>
        <v/>
      </c>
      <c r="E462" s="245" t="n"/>
      <c r="F462" s="245">
        <f>IF('L2-D System Resilience'!P60&lt;&gt;"",'L2-D System Resilience'!P60,"")</f>
        <v/>
      </c>
    </row>
    <row r="463" ht="29" customHeight="1" s="125">
      <c r="A463" s="244">
        <f>'L2-D System Resilience'!A61</f>
        <v/>
      </c>
      <c r="B463" s="245">
        <f>"   ↳  "&amp;IF('L2-D System Resilience'!H61="Yes","★ ","")&amp;'L2-D System Resilience'!C61</f>
        <v/>
      </c>
      <c r="C463" s="204" t="n"/>
      <c r="D463" s="240">
        <f>IF('L2-D System Resilience'!M61="Met","✓ Met",IF('L2-D System Resilience'!M61="Not Met","✗ Not met",IF('L2-D System Resilience'!M61="N/A","— N/A","○ Not tested")))</f>
        <v/>
      </c>
      <c r="E463" s="245" t="n"/>
      <c r="F463" s="245">
        <f>IF('L2-D System Resilience'!P61&lt;&gt;"",'L2-D System Resilience'!P61,"")</f>
        <v/>
      </c>
    </row>
    <row r="464" ht="56" customHeight="1" s="125">
      <c r="A464" s="238">
        <f>'L2-D System Resilience'!A62</f>
        <v/>
      </c>
      <c r="B464" s="239">
        <f>'L2-D System Resilience'!C62&amp;CHAR(10)&amp;"["&amp;'L2-D System Resilience'!B62&amp;" · "&amp;'L2-D System Resilience'!G62&amp;"]"</f>
        <v/>
      </c>
      <c r="C464" s="240">
        <f>IF('L2-D System Resilience'!I62=0,"Info only",IF('L2-D System Resilience'!H62="Yes","★ CRITICAL"&amp;CHAR(10),IF('L2-D System Resilience'!H62="★ subs","★ critical sub-items"&amp;CHAR(10),""))&amp;'L2-D System Resilience'!J62&amp;" · W"&amp;'L2-D System Resilience'!I62)</f>
        <v/>
      </c>
      <c r="D464" s="226">
        <f>IF('L2-D System Resilience'!I62=0,"— Not scored",IF('L2-D System Resilience'!J62="Tier",IF('L2-D System Resilience'!M62="Fully integrated","✓ FULLY INTEGRATED",IF('L2-D System Resilience'!M62="Not Met","✗ NOT MET",IF('L2-D System Resilience'!M62="Not Tested","○ NOT TESTED","◐ "&amp;UPPER('L2-D System Resilience'!M62)))),IF('L2-D System Resilience'!M62="Met","✓ MET",IF('L2-D System Resilience'!M62="Not Met","✗ NOT MET",IF('L2-D System Resilience'!M62="N/A","— N/A",IF('L2-D System Resilience'!M62="Counted",IF(AND('L2-D System Resilience'!N62&gt;=1,'L2-D System Resilience'!S62=0),"✓ MET",IF('L2-D System Resilience'!J62="All-or-nothing","✗ NOT MET",IF('L2-D System Resilience'!S62=1,"✗ NOT MET (★)","◐ PARTIAL")))&amp;CHAR(10)&amp;"("&amp;'L2-D System Resilience'!L62&amp;" of "&amp;'L2-D System Resilience'!K62&amp;")","○ NOT TESTED"))))))</f>
        <v/>
      </c>
      <c r="E464" s="241">
        <f>IF('L2-D System Resilience'!N62="","—",'L2-D System Resilience'!N62)</f>
        <v/>
      </c>
      <c r="F464" s="223">
        <f>'L2-D System Resilience'!O62&amp;IF('L2-D System Resilience'!P62&lt;&gt;"",CHAR(10)&amp;"Notes: "&amp;'L2-D System Resilience'!P62,"")</f>
        <v/>
      </c>
    </row>
    <row r="465" ht="136" customHeight="1" s="125">
      <c r="A465" s="242" t="n"/>
      <c r="B465" s="243">
        <f>"Developer's Guide: "&amp;IFERROR(LEFT('L2-D System Resilience'!D62,FIND(CHAR(10)&amp;CHAR(10)&amp;"Purpose:",'L2-D System Resilience'!D62)-1),'L2-D System Resilience'!D62)</f>
        <v/>
      </c>
      <c r="C465" s="243">
        <f>"Validator's Guide: "&amp;'L2-D System Resilience'!E62&amp;CHAR(10)&amp;"Evidence: "&amp;'L2-D System Resilience'!F62</f>
        <v/>
      </c>
      <c r="D465" s="203" t="n"/>
      <c r="E465" s="203" t="n"/>
      <c r="F465" s="204" t="n"/>
    </row>
    <row r="466" ht="29" customHeight="1" s="125">
      <c r="A466" s="244">
        <f>'L2-D System Resilience'!A63</f>
        <v/>
      </c>
      <c r="B466" s="245">
        <f>"   ↳  "&amp;IF('L2-D System Resilience'!H63="Yes","★ ","")&amp;'L2-D System Resilience'!C63</f>
        <v/>
      </c>
      <c r="C466" s="204" t="n"/>
      <c r="D466" s="240">
        <f>IF('L2-D System Resilience'!M63="Met","✓ Met",IF('L2-D System Resilience'!M63="Not Met","✗ Not met",IF('L2-D System Resilience'!M63="N/A","— N/A","○ Not tested")))</f>
        <v/>
      </c>
      <c r="E466" s="245" t="n"/>
      <c r="F466" s="245">
        <f>IF('L2-D System Resilience'!P63&lt;&gt;"",'L2-D System Resilience'!P63,"")</f>
        <v/>
      </c>
    </row>
    <row r="467" ht="29" customHeight="1" s="125">
      <c r="A467" s="244">
        <f>'L2-D System Resilience'!A64</f>
        <v/>
      </c>
      <c r="B467" s="245">
        <f>"   ↳  "&amp;IF('L2-D System Resilience'!H64="Yes","★ ","")&amp;'L2-D System Resilience'!C64</f>
        <v/>
      </c>
      <c r="C467" s="204" t="n"/>
      <c r="D467" s="240">
        <f>IF('L2-D System Resilience'!M64="Met","✓ Met",IF('L2-D System Resilience'!M64="Not Met","✗ Not met",IF('L2-D System Resilience'!M64="N/A","— N/A","○ Not tested")))</f>
        <v/>
      </c>
      <c r="E467" s="245" t="n"/>
      <c r="F467" s="245">
        <f>IF('L2-D System Resilience'!P64&lt;&gt;"",'L2-D System Resilience'!P64,"")</f>
        <v/>
      </c>
    </row>
    <row r="468" ht="56" customHeight="1" s="125">
      <c r="A468" s="238">
        <f>'L2-D System Resilience'!A65</f>
        <v/>
      </c>
      <c r="B468" s="239">
        <f>'L2-D System Resilience'!C65&amp;CHAR(10)&amp;"["&amp;'L2-D System Resilience'!B65&amp;" · "&amp;'L2-D System Resilience'!G65&amp;"]"</f>
        <v/>
      </c>
      <c r="C468" s="240">
        <f>IF('L2-D System Resilience'!I65=0,"Info only",IF('L2-D System Resilience'!H65="Yes","★ CRITICAL"&amp;CHAR(10),IF('L2-D System Resilience'!H65="★ subs","★ critical sub-items"&amp;CHAR(10),""))&amp;'L2-D System Resilience'!J65&amp;" · W"&amp;'L2-D System Resilience'!I65)</f>
        <v/>
      </c>
      <c r="D468" s="226">
        <f>IF('L2-D System Resilience'!I65=0,"— Not scored",IF('L2-D System Resilience'!J65="Tier",IF('L2-D System Resilience'!M65="Fully integrated","✓ FULLY INTEGRATED",IF('L2-D System Resilience'!M65="Not Met","✗ NOT MET",IF('L2-D System Resilience'!M65="Not Tested","○ NOT TESTED","◐ "&amp;UPPER('L2-D System Resilience'!M65)))),IF('L2-D System Resilience'!M65="Met","✓ MET",IF('L2-D System Resilience'!M65="Not Met","✗ NOT MET",IF('L2-D System Resilience'!M65="N/A","— N/A",IF('L2-D System Resilience'!M65="Counted",IF(AND('L2-D System Resilience'!N65&gt;=1,'L2-D System Resilience'!S65=0),"✓ MET",IF('L2-D System Resilience'!J65="All-or-nothing","✗ NOT MET",IF('L2-D System Resilience'!S65=1,"✗ NOT MET (★)","◐ PARTIAL")))&amp;CHAR(10)&amp;"("&amp;'L2-D System Resilience'!L65&amp;" of "&amp;'L2-D System Resilience'!K65&amp;")","○ NOT TESTED"))))))</f>
        <v/>
      </c>
      <c r="E468" s="241">
        <f>IF('L2-D System Resilience'!N65="","—",'L2-D System Resilience'!N65)</f>
        <v/>
      </c>
      <c r="F468" s="223">
        <f>'L2-D System Resilience'!O65&amp;IF('L2-D System Resilience'!P65&lt;&gt;"",CHAR(10)&amp;"Notes: "&amp;'L2-D System Resilience'!P65,"")</f>
        <v/>
      </c>
    </row>
    <row r="469" ht="208" customHeight="1" s="125">
      <c r="A469" s="242" t="n"/>
      <c r="B469" s="243">
        <f>"Developer's Guide: "&amp;IFERROR(LEFT('L2-D System Resilience'!D65,FIND(CHAR(10)&amp;CHAR(10)&amp;"Purpose:",'L2-D System Resilience'!D65)-1),'L2-D System Resilience'!D65)</f>
        <v/>
      </c>
      <c r="C469" s="243">
        <f>"Validator's Guide: "&amp;'L2-D System Resilience'!E65&amp;CHAR(10)&amp;"Evidence: "&amp;'L2-D System Resilience'!F65</f>
        <v/>
      </c>
      <c r="D469" s="203" t="n"/>
      <c r="E469" s="203" t="n"/>
      <c r="F469" s="204" t="n"/>
    </row>
    <row r="470" ht="29" customHeight="1" s="125">
      <c r="A470" s="244">
        <f>'L2-D System Resilience'!A66</f>
        <v/>
      </c>
      <c r="B470" s="245">
        <f>"   ↳  "&amp;IF('L2-D System Resilience'!H66="Yes","★ ","")&amp;'L2-D System Resilience'!C66</f>
        <v/>
      </c>
      <c r="C470" s="204" t="n"/>
      <c r="D470" s="240">
        <f>IF('L2-D System Resilience'!M66="Met","✓ Met",IF('L2-D System Resilience'!M66="Not Met","✗ Not met",IF('L2-D System Resilience'!M66="N/A","— N/A","○ Not tested")))</f>
        <v/>
      </c>
      <c r="E470" s="245" t="n"/>
      <c r="F470" s="245">
        <f>IF('L2-D System Resilience'!P66&lt;&gt;"",'L2-D System Resilience'!P66,"")</f>
        <v/>
      </c>
    </row>
    <row r="471" ht="29" customHeight="1" s="125">
      <c r="A471" s="244">
        <f>'L2-D System Resilience'!A67</f>
        <v/>
      </c>
      <c r="B471" s="245">
        <f>"   ↳  "&amp;IF('L2-D System Resilience'!H67="Yes","★ ","")&amp;'L2-D System Resilience'!C67</f>
        <v/>
      </c>
      <c r="C471" s="204" t="n"/>
      <c r="D471" s="240">
        <f>IF('L2-D System Resilience'!M67="Met","✓ Met",IF('L2-D System Resilience'!M67="Not Met","✗ Not met",IF('L2-D System Resilience'!M67="N/A","— N/A","○ Not tested")))</f>
        <v/>
      </c>
      <c r="E471" s="245" t="n"/>
      <c r="F471" s="245">
        <f>IF('L2-D System Resilience'!P67&lt;&gt;"",'L2-D System Resilience'!P67,"")</f>
        <v/>
      </c>
    </row>
    <row r="472" ht="69" customHeight="1" s="125">
      <c r="A472" s="238">
        <f>'L2-D System Resilience'!A68</f>
        <v/>
      </c>
      <c r="B472" s="239">
        <f>'L2-D System Resilience'!C68&amp;CHAR(10)&amp;"["&amp;'L2-D System Resilience'!B68&amp;" · "&amp;'L2-D System Resilience'!G68&amp;"]"</f>
        <v/>
      </c>
      <c r="C472" s="240">
        <f>IF('L2-D System Resilience'!I68=0,"Info only",IF('L2-D System Resilience'!H68="Yes","★ CRITICAL"&amp;CHAR(10),IF('L2-D System Resilience'!H68="★ subs","★ critical sub-items"&amp;CHAR(10),""))&amp;'L2-D System Resilience'!J68&amp;" · W"&amp;'L2-D System Resilience'!I68)</f>
        <v/>
      </c>
      <c r="D472" s="226">
        <f>IF('L2-D System Resilience'!I68=0,"— Not scored",IF('L2-D System Resilience'!J68="Tier",IF('L2-D System Resilience'!M68="Fully integrated","✓ FULLY INTEGRATED",IF('L2-D System Resilience'!M68="Not Met","✗ NOT MET",IF('L2-D System Resilience'!M68="Not Tested","○ NOT TESTED","◐ "&amp;UPPER('L2-D System Resilience'!M68)))),IF('L2-D System Resilience'!M68="Met","✓ MET",IF('L2-D System Resilience'!M68="Not Met","✗ NOT MET",IF('L2-D System Resilience'!M68="N/A","— N/A",IF('L2-D System Resilience'!M68="Counted",IF(AND('L2-D System Resilience'!N68&gt;=1,'L2-D System Resilience'!S68=0),"✓ MET",IF('L2-D System Resilience'!J68="All-or-nothing","✗ NOT MET",IF('L2-D System Resilience'!S68=1,"✗ NOT MET (★)","◐ PARTIAL")))&amp;CHAR(10)&amp;"("&amp;'L2-D System Resilience'!L68&amp;" of "&amp;'L2-D System Resilience'!K68&amp;")","○ NOT TESTED"))))))</f>
        <v/>
      </c>
      <c r="E472" s="241">
        <f>IF('L2-D System Resilience'!N68="","—",'L2-D System Resilience'!N68)</f>
        <v/>
      </c>
      <c r="F472" s="223">
        <f>'L2-D System Resilience'!O68&amp;IF('L2-D System Resilience'!P68&lt;&gt;"",CHAR(10)&amp;"Notes: "&amp;'L2-D System Resilience'!P68,"")</f>
        <v/>
      </c>
    </row>
    <row r="473" ht="208" customHeight="1" s="125">
      <c r="A473" s="242" t="n"/>
      <c r="B473" s="243">
        <f>"Developer's Guide: "&amp;IFERROR(LEFT('L2-D System Resilience'!D68,FIND(CHAR(10)&amp;CHAR(10)&amp;"Purpose:",'L2-D System Resilience'!D68)-1),'L2-D System Resilience'!D68)</f>
        <v/>
      </c>
      <c r="C473" s="243">
        <f>"Validator's Guide: "&amp;'L2-D System Resilience'!E68&amp;CHAR(10)&amp;"Evidence: "&amp;'L2-D System Resilience'!F68</f>
        <v/>
      </c>
      <c r="D473" s="203" t="n"/>
      <c r="E473" s="203" t="n"/>
      <c r="F473" s="204" t="n"/>
    </row>
    <row r="474" ht="29" customHeight="1" s="125">
      <c r="A474" s="244">
        <f>'L2-D System Resilience'!A69</f>
        <v/>
      </c>
      <c r="B474" s="245">
        <f>"   ↳  "&amp;IF('L2-D System Resilience'!H69="Yes","★ ","")&amp;'L2-D System Resilience'!C69</f>
        <v/>
      </c>
      <c r="C474" s="204" t="n"/>
      <c r="D474" s="240">
        <f>IF('L2-D System Resilience'!M69="Met","✓ Met",IF('L2-D System Resilience'!M69="Not Met","✗ Not met",IF('L2-D System Resilience'!M69="N/A","— N/A","○ Not tested")))</f>
        <v/>
      </c>
      <c r="E474" s="245" t="n"/>
      <c r="F474" s="245">
        <f>IF('L2-D System Resilience'!P69&lt;&gt;"",'L2-D System Resilience'!P69,"")</f>
        <v/>
      </c>
    </row>
    <row r="475" ht="29" customHeight="1" s="125">
      <c r="A475" s="244">
        <f>'L2-D System Resilience'!A70</f>
        <v/>
      </c>
      <c r="B475" s="245">
        <f>"   ↳  "&amp;IF('L2-D System Resilience'!H70="Yes","★ ","")&amp;'L2-D System Resilience'!C70</f>
        <v/>
      </c>
      <c r="C475" s="204" t="n"/>
      <c r="D475" s="240">
        <f>IF('L2-D System Resilience'!M70="Met","✓ Met",IF('L2-D System Resilience'!M70="Not Met","✗ Not met",IF('L2-D System Resilience'!M70="N/A","— N/A","○ Not tested")))</f>
        <v/>
      </c>
      <c r="E475" s="245" t="n"/>
      <c r="F475" s="245">
        <f>IF('L2-D System Resilience'!P70&lt;&gt;"",'L2-D System Resilience'!P70,"")</f>
        <v/>
      </c>
    </row>
    <row r="476" ht="29" customHeight="1" s="125">
      <c r="A476" s="244">
        <f>'L2-D System Resilience'!A71</f>
        <v/>
      </c>
      <c r="B476" s="245">
        <f>"   ↳  "&amp;IF('L2-D System Resilience'!H71="Yes","★ ","")&amp;'L2-D System Resilience'!C71</f>
        <v/>
      </c>
      <c r="C476" s="204" t="n"/>
      <c r="D476" s="240">
        <f>IF('L2-D System Resilience'!M71="Met","✓ Met",IF('L2-D System Resilience'!M71="Not Met","✗ Not met",IF('L2-D System Resilience'!M71="N/A","— N/A","○ Not tested")))</f>
        <v/>
      </c>
      <c r="E476" s="245" t="n"/>
      <c r="F476" s="245">
        <f>IF('L2-D System Resilience'!P71&lt;&gt;"",'L2-D System Resilience'!P71,"")</f>
        <v/>
      </c>
    </row>
    <row r="477" ht="56" customHeight="1" s="125">
      <c r="A477" s="238">
        <f>'L2-D System Resilience'!A72</f>
        <v/>
      </c>
      <c r="B477" s="239">
        <f>'L2-D System Resilience'!C72&amp;CHAR(10)&amp;"["&amp;'L2-D System Resilience'!B72&amp;" · "&amp;'L2-D System Resilience'!G72&amp;"]"</f>
        <v/>
      </c>
      <c r="C477" s="240">
        <f>IF('L2-D System Resilience'!I72=0,"Info only",IF('L2-D System Resilience'!H72="Yes","★ CRITICAL"&amp;CHAR(10),IF('L2-D System Resilience'!H72="★ subs","★ critical sub-items"&amp;CHAR(10),""))&amp;'L2-D System Resilience'!J72&amp;" · W"&amp;'L2-D System Resilience'!I72)</f>
        <v/>
      </c>
      <c r="D477" s="226">
        <f>IF('L2-D System Resilience'!I72=0,"— Not scored",IF('L2-D System Resilience'!J72="Tier",IF('L2-D System Resilience'!M72="Fully integrated","✓ FULLY INTEGRATED",IF('L2-D System Resilience'!M72="Not Met","✗ NOT MET",IF('L2-D System Resilience'!M72="Not Tested","○ NOT TESTED","◐ "&amp;UPPER('L2-D System Resilience'!M72)))),IF('L2-D System Resilience'!M72="Met","✓ MET",IF('L2-D System Resilience'!M72="Not Met","✗ NOT MET",IF('L2-D System Resilience'!M72="N/A","— N/A",IF('L2-D System Resilience'!M72="Counted",IF(AND('L2-D System Resilience'!N72&gt;=1,'L2-D System Resilience'!S72=0),"✓ MET",IF('L2-D System Resilience'!J72="All-or-nothing","✗ NOT MET",IF('L2-D System Resilience'!S72=1,"✗ NOT MET (★)","◐ PARTIAL")))&amp;CHAR(10)&amp;"("&amp;'L2-D System Resilience'!L72&amp;" of "&amp;'L2-D System Resilience'!K72&amp;")","○ NOT TESTED"))))))</f>
        <v/>
      </c>
      <c r="E477" s="241">
        <f>IF('L2-D System Resilience'!N72="","—",'L2-D System Resilience'!N72)</f>
        <v/>
      </c>
      <c r="F477" s="223">
        <f>'L2-D System Resilience'!O72&amp;IF('L2-D System Resilience'!P72&lt;&gt;"",CHAR(10)&amp;"Notes: "&amp;'L2-D System Resilience'!P72,"")</f>
        <v/>
      </c>
    </row>
    <row r="478" ht="196" customHeight="1" s="125">
      <c r="A478" s="242" t="n"/>
      <c r="B478" s="243">
        <f>"Developer's Guide: "&amp;IFERROR(LEFT('L2-D System Resilience'!D72,FIND(CHAR(10)&amp;CHAR(10)&amp;"Purpose:",'L2-D System Resilience'!D72)-1),'L2-D System Resilience'!D72)</f>
        <v/>
      </c>
      <c r="C478" s="243">
        <f>"Validator's Guide: "&amp;'L2-D System Resilience'!E72&amp;CHAR(10)&amp;"Evidence: "&amp;'L2-D System Resilience'!F72</f>
        <v/>
      </c>
      <c r="D478" s="203" t="n"/>
      <c r="E478" s="203" t="n"/>
      <c r="F478" s="204" t="n"/>
    </row>
    <row r="479" ht="29" customHeight="1" s="125">
      <c r="A479" s="244">
        <f>'L2-D System Resilience'!A73</f>
        <v/>
      </c>
      <c r="B479" s="245">
        <f>"   ↳  "&amp;IF('L2-D System Resilience'!H73="Yes","★ ","")&amp;'L2-D System Resilience'!C73</f>
        <v/>
      </c>
      <c r="C479" s="204" t="n"/>
      <c r="D479" s="240">
        <f>IF('L2-D System Resilience'!M73="Met","✓ Met",IF('L2-D System Resilience'!M73="Not Met","✗ Not met",IF('L2-D System Resilience'!M73="N/A","— N/A","○ Not tested")))</f>
        <v/>
      </c>
      <c r="E479" s="245" t="n"/>
      <c r="F479" s="245">
        <f>IF('L2-D System Resilience'!P73&lt;&gt;"",'L2-D System Resilience'!P73,"")</f>
        <v/>
      </c>
    </row>
    <row r="480" ht="29" customHeight="1" s="125">
      <c r="A480" s="244">
        <f>'L2-D System Resilience'!A74</f>
        <v/>
      </c>
      <c r="B480" s="245">
        <f>"   ↳  "&amp;IF('L2-D System Resilience'!H74="Yes","★ ","")&amp;'L2-D System Resilience'!C74</f>
        <v/>
      </c>
      <c r="C480" s="204" t="n"/>
      <c r="D480" s="240">
        <f>IF('L2-D System Resilience'!M74="Met","✓ Met",IF('L2-D System Resilience'!M74="Not Met","✗ Not met",IF('L2-D System Resilience'!M74="N/A","— N/A","○ Not tested")))</f>
        <v/>
      </c>
      <c r="E480" s="245" t="n"/>
      <c r="F480" s="245">
        <f>IF('L2-D System Resilience'!P74&lt;&gt;"",'L2-D System Resilience'!P74,"")</f>
        <v/>
      </c>
    </row>
    <row r="481" ht="56" customHeight="1" s="125">
      <c r="A481" s="238">
        <f>'L2-D System Resilience'!A75</f>
        <v/>
      </c>
      <c r="B481" s="239">
        <f>'L2-D System Resilience'!C75&amp;CHAR(10)&amp;"["&amp;'L2-D System Resilience'!B75&amp;" · "&amp;'L2-D System Resilience'!G75&amp;"]"</f>
        <v/>
      </c>
      <c r="C481" s="240">
        <f>IF('L2-D System Resilience'!I75=0,"Info only",IF('L2-D System Resilience'!H75="Yes","★ CRITICAL"&amp;CHAR(10),IF('L2-D System Resilience'!H75="★ subs","★ critical sub-items"&amp;CHAR(10),""))&amp;'L2-D System Resilience'!J75&amp;" · W"&amp;'L2-D System Resilience'!I75)</f>
        <v/>
      </c>
      <c r="D481" s="226">
        <f>IF('L2-D System Resilience'!I75=0,"— Not scored",IF('L2-D System Resilience'!J75="Tier",IF('L2-D System Resilience'!M75="Fully integrated","✓ FULLY INTEGRATED",IF('L2-D System Resilience'!M75="Not Met","✗ NOT MET",IF('L2-D System Resilience'!M75="Not Tested","○ NOT TESTED","◐ "&amp;UPPER('L2-D System Resilience'!M75)))),IF('L2-D System Resilience'!M75="Met","✓ MET",IF('L2-D System Resilience'!M75="Not Met","✗ NOT MET",IF('L2-D System Resilience'!M75="N/A","— N/A",IF('L2-D System Resilience'!M75="Counted",IF(AND('L2-D System Resilience'!N75&gt;=1,'L2-D System Resilience'!S75=0),"✓ MET",IF('L2-D System Resilience'!J75="All-or-nothing","✗ NOT MET",IF('L2-D System Resilience'!S75=1,"✗ NOT MET (★)","◐ PARTIAL")))&amp;CHAR(10)&amp;"("&amp;'L2-D System Resilience'!L75&amp;" of "&amp;'L2-D System Resilience'!K75&amp;")","○ NOT TESTED"))))))</f>
        <v/>
      </c>
      <c r="E481" s="241">
        <f>IF('L2-D System Resilience'!N75="","—",'L2-D System Resilience'!N75)</f>
        <v/>
      </c>
      <c r="F481" s="223">
        <f>'L2-D System Resilience'!O75&amp;IF('L2-D System Resilience'!P75&lt;&gt;"",CHAR(10)&amp;"Notes: "&amp;'L2-D System Resilience'!P75,"")</f>
        <v/>
      </c>
    </row>
    <row r="482" ht="172" customHeight="1" s="125">
      <c r="A482" s="242" t="n"/>
      <c r="B482" s="243">
        <f>"Developer's Guide: "&amp;IFERROR(LEFT('L2-D System Resilience'!D75,FIND(CHAR(10)&amp;CHAR(10)&amp;"Purpose:",'L2-D System Resilience'!D75)-1),'L2-D System Resilience'!D75)</f>
        <v/>
      </c>
      <c r="C482" s="243">
        <f>"Validator's Guide: "&amp;'L2-D System Resilience'!E75&amp;CHAR(10)&amp;"Evidence: "&amp;'L2-D System Resilience'!F75</f>
        <v/>
      </c>
      <c r="D482" s="203" t="n"/>
      <c r="E482" s="203" t="n"/>
      <c r="F482" s="204" t="n"/>
    </row>
    <row r="483" ht="29" customHeight="1" s="125">
      <c r="A483" s="244">
        <f>'L2-D System Resilience'!A76</f>
        <v/>
      </c>
      <c r="B483" s="245">
        <f>"   ↳  "&amp;IF('L2-D System Resilience'!H76="Yes","★ ","")&amp;'L2-D System Resilience'!C76</f>
        <v/>
      </c>
      <c r="C483" s="204" t="n"/>
      <c r="D483" s="240">
        <f>IF('L2-D System Resilience'!M76="Met","✓ Met",IF('L2-D System Resilience'!M76="Not Met","✗ Not met",IF('L2-D System Resilience'!M76="N/A","— N/A","○ Not tested")))</f>
        <v/>
      </c>
      <c r="E483" s="245" t="n"/>
      <c r="F483" s="245">
        <f>IF('L2-D System Resilience'!P76&lt;&gt;"",'L2-D System Resilience'!P76,"")</f>
        <v/>
      </c>
    </row>
    <row r="484" ht="29" customHeight="1" s="125">
      <c r="A484" s="244">
        <f>'L2-D System Resilience'!A77</f>
        <v/>
      </c>
      <c r="B484" s="245">
        <f>"   ↳  "&amp;IF('L2-D System Resilience'!H77="Yes","★ ","")&amp;'L2-D System Resilience'!C77</f>
        <v/>
      </c>
      <c r="C484" s="204" t="n"/>
      <c r="D484" s="240">
        <f>IF('L2-D System Resilience'!M77="Met","✓ Met",IF('L2-D System Resilience'!M77="Not Met","✗ Not met",IF('L2-D System Resilience'!M77="N/A","— N/A","○ Not tested")))</f>
        <v/>
      </c>
      <c r="E484" s="245" t="n"/>
      <c r="F484" s="245">
        <f>IF('L2-D System Resilience'!P77&lt;&gt;"",'L2-D System Resilience'!P77,"")</f>
        <v/>
      </c>
    </row>
    <row r="485" ht="56" customHeight="1" s="125">
      <c r="A485" s="238">
        <f>'L2-D System Resilience'!A78</f>
        <v/>
      </c>
      <c r="B485" s="239">
        <f>'L2-D System Resilience'!C78&amp;CHAR(10)&amp;"["&amp;'L2-D System Resilience'!B78&amp;" · "&amp;'L2-D System Resilience'!G78&amp;"]"</f>
        <v/>
      </c>
      <c r="C485" s="240">
        <f>IF('L2-D System Resilience'!I78=0,"Info only",IF('L2-D System Resilience'!H78="Yes","★ CRITICAL"&amp;CHAR(10),IF('L2-D System Resilience'!H78="★ subs","★ critical sub-items"&amp;CHAR(10),""))&amp;'L2-D System Resilience'!J78&amp;" · W"&amp;'L2-D System Resilience'!I78)</f>
        <v/>
      </c>
      <c r="D485" s="226">
        <f>IF('L2-D System Resilience'!I78=0,"— Not scored",IF('L2-D System Resilience'!J78="Tier",IF('L2-D System Resilience'!M78="Fully integrated","✓ FULLY INTEGRATED",IF('L2-D System Resilience'!M78="Not Met","✗ NOT MET",IF('L2-D System Resilience'!M78="Not Tested","○ NOT TESTED","◐ "&amp;UPPER('L2-D System Resilience'!M78)))),IF('L2-D System Resilience'!M78="Met","✓ MET",IF('L2-D System Resilience'!M78="Not Met","✗ NOT MET",IF('L2-D System Resilience'!M78="N/A","— N/A",IF('L2-D System Resilience'!M78="Counted",IF(AND('L2-D System Resilience'!N78&gt;=1,'L2-D System Resilience'!S78=0),"✓ MET",IF('L2-D System Resilience'!J78="All-or-nothing","✗ NOT MET",IF('L2-D System Resilience'!S78=1,"✗ NOT MET (★)","◐ PARTIAL")))&amp;CHAR(10)&amp;"("&amp;'L2-D System Resilience'!L78&amp;" of "&amp;'L2-D System Resilience'!K78&amp;")","○ NOT TESTED"))))))</f>
        <v/>
      </c>
      <c r="E485" s="241">
        <f>IF('L2-D System Resilience'!N78="","—",'L2-D System Resilience'!N78)</f>
        <v/>
      </c>
      <c r="F485" s="223">
        <f>'L2-D System Resilience'!O78&amp;IF('L2-D System Resilience'!P78&lt;&gt;"",CHAR(10)&amp;"Notes: "&amp;'L2-D System Resilience'!P78,"")</f>
        <v/>
      </c>
    </row>
    <row r="486" ht="160" customHeight="1" s="125">
      <c r="A486" s="242" t="n"/>
      <c r="B486" s="243">
        <f>"Developer's Guide: "&amp;IFERROR(LEFT('L2-D System Resilience'!D78,FIND(CHAR(10)&amp;CHAR(10)&amp;"Purpose:",'L2-D System Resilience'!D78)-1),'L2-D System Resilience'!D78)</f>
        <v/>
      </c>
      <c r="C486" s="243">
        <f>"Validator's Guide: "&amp;'L2-D System Resilience'!E78&amp;CHAR(10)&amp;"Evidence: "&amp;'L2-D System Resilience'!F78</f>
        <v/>
      </c>
      <c r="D486" s="203" t="n"/>
      <c r="E486" s="203" t="n"/>
      <c r="F486" s="204" t="n"/>
    </row>
    <row r="487" ht="56" customHeight="1" s="125">
      <c r="A487" s="238">
        <f>'L2-D System Resilience'!A79</f>
        <v/>
      </c>
      <c r="B487" s="239">
        <f>'L2-D System Resilience'!C79&amp;CHAR(10)&amp;"["&amp;'L2-D System Resilience'!B79&amp;" · "&amp;'L2-D System Resilience'!G79&amp;"]"</f>
        <v/>
      </c>
      <c r="C487" s="240">
        <f>IF('L2-D System Resilience'!I79=0,"Info only",IF('L2-D System Resilience'!H79="Yes","★ CRITICAL"&amp;CHAR(10),IF('L2-D System Resilience'!H79="★ subs","★ critical sub-items"&amp;CHAR(10),""))&amp;'L2-D System Resilience'!J79&amp;" · W"&amp;'L2-D System Resilience'!I79)</f>
        <v/>
      </c>
      <c r="D487" s="226">
        <f>IF('L2-D System Resilience'!I79=0,"— Not scored",IF('L2-D System Resilience'!J79="Tier",IF('L2-D System Resilience'!M79="Fully integrated","✓ FULLY INTEGRATED",IF('L2-D System Resilience'!M79="Not Met","✗ NOT MET",IF('L2-D System Resilience'!M79="Not Tested","○ NOT TESTED","◐ "&amp;UPPER('L2-D System Resilience'!M79)))),IF('L2-D System Resilience'!M79="Met","✓ MET",IF('L2-D System Resilience'!M79="Not Met","✗ NOT MET",IF('L2-D System Resilience'!M79="N/A","— N/A",IF('L2-D System Resilience'!M79="Counted",IF(AND('L2-D System Resilience'!N79&gt;=1,'L2-D System Resilience'!S79=0),"✓ MET",IF('L2-D System Resilience'!J79="All-or-nothing","✗ NOT MET",IF('L2-D System Resilience'!S79=1,"✗ NOT MET (★)","◐ PARTIAL")))&amp;CHAR(10)&amp;"("&amp;'L2-D System Resilience'!L79&amp;" of "&amp;'L2-D System Resilience'!K79&amp;")","○ NOT TESTED"))))))</f>
        <v/>
      </c>
      <c r="E487" s="241">
        <f>IF('L2-D System Resilience'!N79="","—",'L2-D System Resilience'!N79)</f>
        <v/>
      </c>
      <c r="F487" s="223">
        <f>'L2-D System Resilience'!O79&amp;IF('L2-D System Resilience'!P79&lt;&gt;"",CHAR(10)&amp;"Notes: "&amp;'L2-D System Resilience'!P79,"")</f>
        <v/>
      </c>
    </row>
    <row r="488" ht="160" customHeight="1" s="125">
      <c r="A488" s="242" t="n"/>
      <c r="B488" s="243">
        <f>"Developer's Guide: "&amp;IFERROR(LEFT('L2-D System Resilience'!D79,FIND(CHAR(10)&amp;CHAR(10)&amp;"Purpose:",'L2-D System Resilience'!D79)-1),'L2-D System Resilience'!D79)</f>
        <v/>
      </c>
      <c r="C488" s="243">
        <f>"Validator's Guide: "&amp;'L2-D System Resilience'!E79&amp;CHAR(10)&amp;"Evidence: "&amp;'L2-D System Resilience'!F79</f>
        <v/>
      </c>
      <c r="D488" s="203" t="n"/>
      <c r="E488" s="203" t="n"/>
      <c r="F488" s="204" t="n"/>
    </row>
    <row r="489" ht="29" customHeight="1" s="125">
      <c r="A489" s="244">
        <f>'L2-D System Resilience'!A80</f>
        <v/>
      </c>
      <c r="B489" s="245">
        <f>"   ↳  "&amp;IF('L2-D System Resilience'!H80="Yes","★ ","")&amp;'L2-D System Resilience'!C80</f>
        <v/>
      </c>
      <c r="C489" s="204" t="n"/>
      <c r="D489" s="240">
        <f>IF('L2-D System Resilience'!M80="Met","✓ Met",IF('L2-D System Resilience'!M80="Not Met","✗ Not met",IF('L2-D System Resilience'!M80="N/A","— N/A","○ Not tested")))</f>
        <v/>
      </c>
      <c r="E489" s="245" t="n"/>
      <c r="F489" s="245">
        <f>IF('L2-D System Resilience'!P80&lt;&gt;"",'L2-D System Resilience'!P80,"")</f>
        <v/>
      </c>
    </row>
    <row r="490" ht="29" customHeight="1" s="125">
      <c r="A490" s="244">
        <f>'L2-D System Resilience'!A81</f>
        <v/>
      </c>
      <c r="B490" s="245">
        <f>"   ↳  "&amp;IF('L2-D System Resilience'!H81="Yes","★ ","")&amp;'L2-D System Resilience'!C81</f>
        <v/>
      </c>
      <c r="C490" s="204" t="n"/>
      <c r="D490" s="240">
        <f>IF('L2-D System Resilience'!M81="Met","✓ Met",IF('L2-D System Resilience'!M81="Not Met","✗ Not met",IF('L2-D System Resilience'!M81="N/A","— N/A","○ Not tested")))</f>
        <v/>
      </c>
      <c r="E490" s="245" t="n"/>
      <c r="F490" s="245">
        <f>IF('L2-D System Resilience'!P81&lt;&gt;"",'L2-D System Resilience'!P81,"")</f>
        <v/>
      </c>
    </row>
    <row r="491" ht="29" customHeight="1" s="125">
      <c r="A491" s="244">
        <f>'L2-D System Resilience'!A82</f>
        <v/>
      </c>
      <c r="B491" s="245">
        <f>"   ↳  "&amp;IF('L2-D System Resilience'!H82="Yes","★ ","")&amp;'L2-D System Resilience'!C82</f>
        <v/>
      </c>
      <c r="C491" s="204" t="n"/>
      <c r="D491" s="240">
        <f>IF('L2-D System Resilience'!M82="Met","✓ Met",IF('L2-D System Resilience'!M82="Not Met","✗ Not met",IF('L2-D System Resilience'!M82="N/A","— N/A","○ Not tested")))</f>
        <v/>
      </c>
      <c r="E491" s="245" t="n"/>
      <c r="F491" s="245">
        <f>IF('L2-D System Resilience'!P82&lt;&gt;"",'L2-D System Resilience'!P82,"")</f>
        <v/>
      </c>
    </row>
    <row r="492" ht="15" customHeight="1" s="125">
      <c r="A492" s="236" t="inlineStr">
        <is>
          <t>LEVEL 3 — REPORTS &amp; DASHBOARD</t>
        </is>
      </c>
      <c r="B492" s="203" t="n"/>
      <c r="C492" s="203" t="n"/>
      <c r="D492" s="203" t="n"/>
      <c r="E492" s="203" t="n"/>
      <c r="F492" s="204" t="n"/>
    </row>
    <row r="493" ht="13.5" customHeight="1" s="125">
      <c r="A493" s="237">
        <f>"Score: "&amp;TEXT('L3 Reports'!D4,"0.0%")&amp;"  ·  Threshold: "&amp;TEXT('L3 Reports'!D5,"0%")&amp;"  ·  Critical not met: "&amp;'L3 Reports'!D6&amp;"  ·  Not tested: "&amp;'L3 Reports'!F4&amp;" of "&amp;'L3 Reports'!F7&amp;"  ·  Status: "&amp;'L3 Reports'!F6</f>
        <v/>
      </c>
      <c r="B493" s="203" t="n"/>
      <c r="C493" s="203" t="n"/>
      <c r="D493" s="203" t="n"/>
      <c r="E493" s="203" t="n"/>
      <c r="F493" s="204" t="n"/>
    </row>
    <row r="494" ht="56" customHeight="1" s="125">
      <c r="A494" s="238">
        <f>'L3 Reports'!A10</f>
        <v/>
      </c>
      <c r="B494" s="239">
        <f>'L3 Reports'!C10&amp;CHAR(10)&amp;"["&amp;'L3 Reports'!B10&amp;" · "&amp;'L3 Reports'!G10&amp;"]"</f>
        <v/>
      </c>
      <c r="C494" s="240">
        <f>IF('L3 Reports'!I10=0,"Info only",IF('L3 Reports'!H10="Yes","★ CRITICAL"&amp;CHAR(10),IF('L3 Reports'!H10="★ subs","★ critical sub-items"&amp;CHAR(10),""))&amp;'L3 Reports'!J10&amp;" · W"&amp;'L3 Reports'!I10)</f>
        <v/>
      </c>
      <c r="D494" s="226">
        <f>IF('L3 Reports'!I10=0,"— Not scored",IF('L3 Reports'!J10="Tier",IF('L3 Reports'!M10="Fully integrated","✓ FULLY INTEGRATED",IF('L3 Reports'!M10="Not Met","✗ NOT MET",IF('L3 Reports'!M10="Not Tested","○ NOT TESTED","◐ "&amp;UPPER('L3 Reports'!M10)))),IF('L3 Reports'!M10="Met","✓ MET",IF('L3 Reports'!M10="Not Met","✗ NOT MET",IF('L3 Reports'!M10="N/A","— N/A",IF('L3 Reports'!M10="Counted",IF(AND('L3 Reports'!N10&gt;=1,'L3 Reports'!S10=0),"✓ MET",IF('L3 Reports'!J10="All-or-nothing","✗ NOT MET",IF('L3 Reports'!S10=1,"✗ NOT MET (★)","◐ PARTIAL")))&amp;CHAR(10)&amp;"("&amp;'L3 Reports'!L10&amp;" of "&amp;'L3 Reports'!K10&amp;")","○ NOT TESTED"))))))</f>
        <v/>
      </c>
      <c r="E494" s="241">
        <f>IF('L3 Reports'!N10="","—",'L3 Reports'!N10)</f>
        <v/>
      </c>
      <c r="F494" s="223">
        <f>'L3 Reports'!O10&amp;IF('L3 Reports'!P10&lt;&gt;"",CHAR(10)&amp;"Notes: "&amp;'L3 Reports'!P10,"")</f>
        <v/>
      </c>
    </row>
    <row r="495" ht="88" customHeight="1" s="125">
      <c r="A495" s="242" t="n"/>
      <c r="B495" s="243">
        <f>"Developer's Guide: "&amp;IFERROR(LEFT('L3 Reports'!D10,FIND(CHAR(10)&amp;CHAR(10)&amp;"Purpose:",'L3 Reports'!D10)-1),'L3 Reports'!D10)</f>
        <v/>
      </c>
      <c r="C495" s="243">
        <f>"Validator's Guide: "&amp;'L3 Reports'!E10&amp;CHAR(10)&amp;"Evidence: "&amp;'L3 Reports'!F10</f>
        <v/>
      </c>
      <c r="D495" s="203" t="n"/>
      <c r="E495" s="203" t="n"/>
      <c r="F495" s="204" t="n"/>
    </row>
    <row r="496" ht="29" customHeight="1" s="125">
      <c r="A496" s="244">
        <f>'L3 Reports'!A11</f>
        <v/>
      </c>
      <c r="B496" s="245">
        <f>"   ↳  "&amp;IF('L3 Reports'!H11="Yes","★ ","")&amp;'L3 Reports'!C11</f>
        <v/>
      </c>
      <c r="C496" s="204" t="n"/>
      <c r="D496" s="240">
        <f>IF('L3 Reports'!M11="Met","✓ Met",IF('L3 Reports'!M11="Not Met","✗ Not met",IF('L3 Reports'!M11="N/A","— N/A","○ Not tested")))</f>
        <v/>
      </c>
      <c r="E496" s="245" t="n"/>
      <c r="F496" s="245">
        <f>IF('L3 Reports'!P11&lt;&gt;"",'L3 Reports'!P11,"")</f>
        <v/>
      </c>
    </row>
    <row r="497" ht="42" customHeight="1" s="125">
      <c r="A497" s="244">
        <f>'L3 Reports'!A12</f>
        <v/>
      </c>
      <c r="B497" s="245">
        <f>"   ↳  "&amp;IF('L3 Reports'!H12="Yes","★ ","")&amp;'L3 Reports'!C12</f>
        <v/>
      </c>
      <c r="C497" s="204" t="n"/>
      <c r="D497" s="240">
        <f>IF('L3 Reports'!M12="Met","✓ Met",IF('L3 Reports'!M12="Not Met","✗ Not met",IF('L3 Reports'!M12="N/A","— N/A","○ Not tested")))</f>
        <v/>
      </c>
      <c r="E497" s="245" t="n"/>
      <c r="F497" s="245">
        <f>IF('L3 Reports'!P12&lt;&gt;"",'L3 Reports'!P12,"")</f>
        <v/>
      </c>
    </row>
    <row r="498" ht="29" customHeight="1" s="125">
      <c r="A498" s="244">
        <f>'L3 Reports'!A13</f>
        <v/>
      </c>
      <c r="B498" s="245">
        <f>"   ↳  "&amp;IF('L3 Reports'!H13="Yes","★ ","")&amp;'L3 Reports'!C13</f>
        <v/>
      </c>
      <c r="C498" s="204" t="n"/>
      <c r="D498" s="240">
        <f>IF('L3 Reports'!M13="Met","✓ Met",IF('L3 Reports'!M13="Not Met","✗ Not met",IF('L3 Reports'!M13="N/A","— N/A","○ Not tested")))</f>
        <v/>
      </c>
      <c r="E498" s="245" t="n"/>
      <c r="F498" s="245">
        <f>IF('L3 Reports'!P13&lt;&gt;"",'L3 Reports'!P13,"")</f>
        <v/>
      </c>
    </row>
    <row r="499" ht="42" customHeight="1" s="125">
      <c r="A499" s="244">
        <f>'L3 Reports'!A14</f>
        <v/>
      </c>
      <c r="B499" s="245">
        <f>"   ↳  "&amp;IF('L3 Reports'!H14="Yes","★ ","")&amp;'L3 Reports'!C14</f>
        <v/>
      </c>
      <c r="C499" s="204" t="n"/>
      <c r="D499" s="240">
        <f>IF('L3 Reports'!M14="Met","✓ Met",IF('L3 Reports'!M14="Not Met","✗ Not met",IF('L3 Reports'!M14="N/A","— N/A","○ Not tested")))</f>
        <v/>
      </c>
      <c r="E499" s="245" t="n"/>
      <c r="F499" s="245">
        <f>IF('L3 Reports'!P14&lt;&gt;"",'L3 Reports'!P14,"")</f>
        <v/>
      </c>
    </row>
    <row r="500" ht="42" customHeight="1" s="125">
      <c r="A500" s="244">
        <f>'L3 Reports'!A15</f>
        <v/>
      </c>
      <c r="B500" s="245">
        <f>"   ↳  "&amp;IF('L3 Reports'!H15="Yes","★ ","")&amp;'L3 Reports'!C15</f>
        <v/>
      </c>
      <c r="C500" s="204" t="n"/>
      <c r="D500" s="240">
        <f>IF('L3 Reports'!M15="Met","✓ Met",IF('L3 Reports'!M15="Not Met","✗ Not met",IF('L3 Reports'!M15="N/A","— N/A","○ Not tested")))</f>
        <v/>
      </c>
      <c r="E500" s="245" t="n"/>
      <c r="F500" s="245">
        <f>IF('L3 Reports'!P15&lt;&gt;"",'L3 Reports'!P15,"")</f>
        <v/>
      </c>
    </row>
    <row r="501" ht="29" customHeight="1" s="125">
      <c r="A501" s="244">
        <f>'L3 Reports'!A16</f>
        <v/>
      </c>
      <c r="B501" s="245">
        <f>"   ↳  "&amp;IF('L3 Reports'!H16="Yes","★ ","")&amp;'L3 Reports'!C16</f>
        <v/>
      </c>
      <c r="C501" s="204" t="n"/>
      <c r="D501" s="240">
        <f>IF('L3 Reports'!M16="Met","✓ Met",IF('L3 Reports'!M16="Not Met","✗ Not met",IF('L3 Reports'!M16="N/A","— N/A","○ Not tested")))</f>
        <v/>
      </c>
      <c r="E501" s="245" t="n"/>
      <c r="F501" s="245">
        <f>IF('L3 Reports'!P16&lt;&gt;"",'L3 Reports'!P16,"")</f>
        <v/>
      </c>
    </row>
    <row r="502" ht="69" customHeight="1" s="125">
      <c r="A502" s="238">
        <f>'L3 Reports'!A17</f>
        <v/>
      </c>
      <c r="B502" s="239">
        <f>'L3 Reports'!C17&amp;CHAR(10)&amp;"["&amp;'L3 Reports'!B17&amp;" · "&amp;'L3 Reports'!G17&amp;"]"</f>
        <v/>
      </c>
      <c r="C502" s="240">
        <f>IF('L3 Reports'!I17=0,"Info only",IF('L3 Reports'!H17="Yes","★ CRITICAL"&amp;CHAR(10),IF('L3 Reports'!H17="★ subs","★ critical sub-items"&amp;CHAR(10),""))&amp;'L3 Reports'!J17&amp;" · W"&amp;'L3 Reports'!I17)</f>
        <v/>
      </c>
      <c r="D502" s="226">
        <f>IF('L3 Reports'!I17=0,"— Not scored",IF('L3 Reports'!J17="Tier",IF('L3 Reports'!M17="Fully integrated","✓ FULLY INTEGRATED",IF('L3 Reports'!M17="Not Met","✗ NOT MET",IF('L3 Reports'!M17="Not Tested","○ NOT TESTED","◐ "&amp;UPPER('L3 Reports'!M17)))),IF('L3 Reports'!M17="Met","✓ MET",IF('L3 Reports'!M17="Not Met","✗ NOT MET",IF('L3 Reports'!M17="N/A","— N/A",IF('L3 Reports'!M17="Counted",IF(AND('L3 Reports'!N17&gt;=1,'L3 Reports'!S17=0),"✓ MET",IF('L3 Reports'!J17="All-or-nothing","✗ NOT MET",IF('L3 Reports'!S17=1,"✗ NOT MET (★)","◐ PARTIAL")))&amp;CHAR(10)&amp;"("&amp;'L3 Reports'!L17&amp;" of "&amp;'L3 Reports'!K17&amp;")","○ NOT TESTED"))))))</f>
        <v/>
      </c>
      <c r="E502" s="241">
        <f>IF('L3 Reports'!N17="","—",'L3 Reports'!N17)</f>
        <v/>
      </c>
      <c r="F502" s="223">
        <f>'L3 Reports'!O17&amp;IF('L3 Reports'!P17&lt;&gt;"",CHAR(10)&amp;"Notes: "&amp;'L3 Reports'!P17,"")</f>
        <v/>
      </c>
    </row>
    <row r="503" ht="52" customHeight="1" s="125">
      <c r="A503" s="242" t="n"/>
      <c r="B503" s="243">
        <f>"Developer's Guide: "&amp;IFERROR(LEFT('L3 Reports'!D17,FIND(CHAR(10)&amp;CHAR(10)&amp;"Purpose:",'L3 Reports'!D17)-1),'L3 Reports'!D17)</f>
        <v/>
      </c>
      <c r="C503" s="243">
        <f>"Validator's Guide: "&amp;'L3 Reports'!E17&amp;CHAR(10)&amp;"Evidence: "&amp;'L3 Reports'!F17</f>
        <v/>
      </c>
      <c r="D503" s="203" t="n"/>
      <c r="E503" s="203" t="n"/>
      <c r="F503" s="204" t="n"/>
    </row>
    <row r="504" ht="16" customHeight="1" s="125">
      <c r="A504" s="244">
        <f>'L3 Reports'!A18</f>
        <v/>
      </c>
      <c r="B504" s="245">
        <f>"   ↳  "&amp;IF('L3 Reports'!H18="Yes","★ ","")&amp;'L3 Reports'!C18</f>
        <v/>
      </c>
      <c r="C504" s="204" t="n"/>
      <c r="D504" s="240">
        <f>IF('L3 Reports'!M18="Met","✓ Met",IF('L3 Reports'!M18="Not Met","✗ Not met",IF('L3 Reports'!M18="N/A","— N/A","○ Not tested")))</f>
        <v/>
      </c>
      <c r="E504" s="245" t="n"/>
      <c r="F504" s="245">
        <f>IF('L3 Reports'!P18&lt;&gt;"",'L3 Reports'!P18,"")</f>
        <v/>
      </c>
    </row>
    <row r="505" ht="16" customHeight="1" s="125">
      <c r="A505" s="244">
        <f>'L3 Reports'!A19</f>
        <v/>
      </c>
      <c r="B505" s="245">
        <f>"   ↳  "&amp;IF('L3 Reports'!H19="Yes","★ ","")&amp;'L3 Reports'!C19</f>
        <v/>
      </c>
      <c r="C505" s="204" t="n"/>
      <c r="D505" s="240">
        <f>IF('L3 Reports'!M19="Met","✓ Met",IF('L3 Reports'!M19="Not Met","✗ Not met",IF('L3 Reports'!M19="N/A","— N/A","○ Not tested")))</f>
        <v/>
      </c>
      <c r="E505" s="245" t="n"/>
      <c r="F505" s="245">
        <f>IF('L3 Reports'!P19&lt;&gt;"",'L3 Reports'!P19,"")</f>
        <v/>
      </c>
    </row>
    <row r="506" ht="16" customHeight="1" s="125">
      <c r="A506" s="244">
        <f>'L3 Reports'!A20</f>
        <v/>
      </c>
      <c r="B506" s="245">
        <f>"   ↳  "&amp;IF('L3 Reports'!H20="Yes","★ ","")&amp;'L3 Reports'!C20</f>
        <v/>
      </c>
      <c r="C506" s="204" t="n"/>
      <c r="D506" s="240">
        <f>IF('L3 Reports'!M20="Met","✓ Met",IF('L3 Reports'!M20="Not Met","✗ Not met",IF('L3 Reports'!M20="N/A","— N/A","○ Not tested")))</f>
        <v/>
      </c>
      <c r="E506" s="245" t="n"/>
      <c r="F506" s="245">
        <f>IF('L3 Reports'!P20&lt;&gt;"",'L3 Reports'!P20,"")</f>
        <v/>
      </c>
    </row>
    <row r="507" ht="16" customHeight="1" s="125">
      <c r="A507" s="244">
        <f>'L3 Reports'!A21</f>
        <v/>
      </c>
      <c r="B507" s="245">
        <f>"   ↳  "&amp;IF('L3 Reports'!H21="Yes","★ ","")&amp;'L3 Reports'!C21</f>
        <v/>
      </c>
      <c r="C507" s="204" t="n"/>
      <c r="D507" s="240">
        <f>IF('L3 Reports'!M21="Met","✓ Met",IF('L3 Reports'!M21="Not Met","✗ Not met",IF('L3 Reports'!M21="N/A","— N/A","○ Not tested")))</f>
        <v/>
      </c>
      <c r="E507" s="245" t="n"/>
      <c r="F507" s="245">
        <f>IF('L3 Reports'!P21&lt;&gt;"",'L3 Reports'!P21,"")</f>
        <v/>
      </c>
    </row>
    <row r="508" ht="16" customHeight="1" s="125">
      <c r="A508" s="244">
        <f>'L3 Reports'!A22</f>
        <v/>
      </c>
      <c r="B508" s="245">
        <f>"   ↳  "&amp;IF('L3 Reports'!H22="Yes","★ ","")&amp;'L3 Reports'!C22</f>
        <v/>
      </c>
      <c r="C508" s="204" t="n"/>
      <c r="D508" s="240">
        <f>IF('L3 Reports'!M22="Met","✓ Met",IF('L3 Reports'!M22="Not Met","✗ Not met",IF('L3 Reports'!M22="N/A","— N/A","○ Not tested")))</f>
        <v/>
      </c>
      <c r="E508" s="245" t="n"/>
      <c r="F508" s="245">
        <f>IF('L3 Reports'!P22&lt;&gt;"",'L3 Reports'!P22,"")</f>
        <v/>
      </c>
    </row>
    <row r="509" ht="16" customHeight="1" s="125">
      <c r="A509" s="244">
        <f>'L3 Reports'!A23</f>
        <v/>
      </c>
      <c r="B509" s="245">
        <f>"   ↳  "&amp;IF('L3 Reports'!H23="Yes","★ ","")&amp;'L3 Reports'!C23</f>
        <v/>
      </c>
      <c r="C509" s="204" t="n"/>
      <c r="D509" s="240">
        <f>IF('L3 Reports'!M23="Met","✓ Met",IF('L3 Reports'!M23="Not Met","✗ Not met",IF('L3 Reports'!M23="N/A","— N/A","○ Not tested")))</f>
        <v/>
      </c>
      <c r="E509" s="245" t="n"/>
      <c r="F509" s="245">
        <f>IF('L3 Reports'!P23&lt;&gt;"",'L3 Reports'!P23,"")</f>
        <v/>
      </c>
    </row>
    <row r="510" ht="43" customHeight="1" s="125">
      <c r="A510" s="238">
        <f>'L3 Reports'!A24</f>
        <v/>
      </c>
      <c r="B510" s="239">
        <f>'L3 Reports'!C24&amp;CHAR(10)&amp;"["&amp;'L3 Reports'!B24&amp;" · "&amp;'L3 Reports'!G24&amp;"]"</f>
        <v/>
      </c>
      <c r="C510" s="240">
        <f>IF('L3 Reports'!I24=0,"Info only",IF('L3 Reports'!H24="Yes","★ CRITICAL"&amp;CHAR(10),IF('L3 Reports'!H24="★ subs","★ critical sub-items"&amp;CHAR(10),""))&amp;'L3 Reports'!J24&amp;" · W"&amp;'L3 Reports'!I24)</f>
        <v/>
      </c>
      <c r="D510" s="226">
        <f>IF('L3 Reports'!I24=0,"— Not scored",IF('L3 Reports'!J24="Tier",IF('L3 Reports'!M24="Fully integrated","✓ FULLY INTEGRATED",IF('L3 Reports'!M24="Not Met","✗ NOT MET",IF('L3 Reports'!M24="Not Tested","○ NOT TESTED","◐ "&amp;UPPER('L3 Reports'!M24)))),IF('L3 Reports'!M24="Met","✓ MET",IF('L3 Reports'!M24="Not Met","✗ NOT MET",IF('L3 Reports'!M24="N/A","— N/A",IF('L3 Reports'!M24="Counted",IF(AND('L3 Reports'!N24&gt;=1,'L3 Reports'!S24=0),"✓ MET",IF('L3 Reports'!J24="All-or-nothing","✗ NOT MET",IF('L3 Reports'!S24=1,"✗ NOT MET (★)","◐ PARTIAL")))&amp;CHAR(10)&amp;"("&amp;'L3 Reports'!L24&amp;" of "&amp;'L3 Reports'!K24&amp;")","○ NOT TESTED"))))))</f>
        <v/>
      </c>
      <c r="E510" s="241">
        <f>IF('L3 Reports'!N24="","—",'L3 Reports'!N24)</f>
        <v/>
      </c>
      <c r="F510" s="223">
        <f>'L3 Reports'!O24&amp;IF('L3 Reports'!P24&lt;&gt;"",CHAR(10)&amp;"Notes: "&amp;'L3 Reports'!P24,"")</f>
        <v/>
      </c>
    </row>
    <row r="511" ht="64" customHeight="1" s="125">
      <c r="A511" s="242" t="n"/>
      <c r="B511" s="243">
        <f>"Developer's Guide: "&amp;IFERROR(LEFT('L3 Reports'!D24,FIND(CHAR(10)&amp;CHAR(10)&amp;"Purpose:",'L3 Reports'!D24)-1),'L3 Reports'!D24)</f>
        <v/>
      </c>
      <c r="C511" s="243">
        <f>"Validator's Guide: "&amp;'L3 Reports'!E24&amp;CHAR(10)&amp;"Evidence: "&amp;'L3 Reports'!F24</f>
        <v/>
      </c>
      <c r="D511" s="203" t="n"/>
      <c r="E511" s="203" t="n"/>
      <c r="F511" s="204" t="n"/>
    </row>
    <row r="512" ht="43" customHeight="1" s="125">
      <c r="A512" s="238">
        <f>'L3 Reports'!A25</f>
        <v/>
      </c>
      <c r="B512" s="239">
        <f>'L3 Reports'!C25&amp;CHAR(10)&amp;"["&amp;'L3 Reports'!B25&amp;" · "&amp;'L3 Reports'!G25&amp;"]"</f>
        <v/>
      </c>
      <c r="C512" s="240">
        <f>IF('L3 Reports'!I25=0,"Info only",IF('L3 Reports'!H25="Yes","★ CRITICAL"&amp;CHAR(10),IF('L3 Reports'!H25="★ subs","★ critical sub-items"&amp;CHAR(10),""))&amp;'L3 Reports'!J25&amp;" · W"&amp;'L3 Reports'!I25)</f>
        <v/>
      </c>
      <c r="D512" s="226">
        <f>IF('L3 Reports'!I25=0,"— Not scored",IF('L3 Reports'!J25="Tier",IF('L3 Reports'!M25="Fully integrated","✓ FULLY INTEGRATED",IF('L3 Reports'!M25="Not Met","✗ NOT MET",IF('L3 Reports'!M25="Not Tested","○ NOT TESTED","◐ "&amp;UPPER('L3 Reports'!M25)))),IF('L3 Reports'!M25="Met","✓ MET",IF('L3 Reports'!M25="Not Met","✗ NOT MET",IF('L3 Reports'!M25="N/A","— N/A",IF('L3 Reports'!M25="Counted",IF(AND('L3 Reports'!N25&gt;=1,'L3 Reports'!S25=0),"✓ MET",IF('L3 Reports'!J25="All-or-nothing","✗ NOT MET",IF('L3 Reports'!S25=1,"✗ NOT MET (★)","◐ PARTIAL")))&amp;CHAR(10)&amp;"("&amp;'L3 Reports'!L25&amp;" of "&amp;'L3 Reports'!K25&amp;")","○ NOT TESTED"))))))</f>
        <v/>
      </c>
      <c r="E512" s="241">
        <f>IF('L3 Reports'!N25="","—",'L3 Reports'!N25)</f>
        <v/>
      </c>
      <c r="F512" s="223">
        <f>'L3 Reports'!O25&amp;IF('L3 Reports'!P25&lt;&gt;"",CHAR(10)&amp;"Notes: "&amp;'L3 Reports'!P25,"")</f>
        <v/>
      </c>
    </row>
    <row r="513" ht="76" customHeight="1" s="125">
      <c r="A513" s="242" t="n"/>
      <c r="B513" s="243">
        <f>"Developer's Guide: "&amp;IFERROR(LEFT('L3 Reports'!D25,FIND(CHAR(10)&amp;CHAR(10)&amp;"Purpose:",'L3 Reports'!D25)-1),'L3 Reports'!D25)</f>
        <v/>
      </c>
      <c r="C513" s="243">
        <f>"Validator's Guide: "&amp;'L3 Reports'!E25&amp;CHAR(10)&amp;"Evidence: "&amp;'L3 Reports'!F25</f>
        <v/>
      </c>
      <c r="D513" s="203" t="n"/>
      <c r="E513" s="203" t="n"/>
      <c r="F513" s="204" t="n"/>
    </row>
    <row r="514" ht="16" customHeight="1" s="125">
      <c r="A514" s="244">
        <f>'L3 Reports'!A26</f>
        <v/>
      </c>
      <c r="B514" s="245">
        <f>"   ↳  "&amp;IF('L3 Reports'!H26="Yes","★ ","")&amp;'L3 Reports'!C26</f>
        <v/>
      </c>
      <c r="C514" s="204" t="n"/>
      <c r="D514" s="240">
        <f>IF('L3 Reports'!M26="Met","✓ Met",IF('L3 Reports'!M26="Not Met","✗ Not met",IF('L3 Reports'!M26="N/A","— N/A","○ Not tested")))</f>
        <v/>
      </c>
      <c r="E514" s="245" t="n"/>
      <c r="F514" s="245">
        <f>IF('L3 Reports'!P26&lt;&gt;"",'L3 Reports'!P26,"")</f>
        <v/>
      </c>
    </row>
    <row r="515" ht="16" customHeight="1" s="125">
      <c r="A515" s="244">
        <f>'L3 Reports'!A27</f>
        <v/>
      </c>
      <c r="B515" s="245">
        <f>"   ↳  "&amp;IF('L3 Reports'!H27="Yes","★ ","")&amp;'L3 Reports'!C27</f>
        <v/>
      </c>
      <c r="C515" s="204" t="n"/>
      <c r="D515" s="240">
        <f>IF('L3 Reports'!M27="Met","✓ Met",IF('L3 Reports'!M27="Not Met","✗ Not met",IF('L3 Reports'!M27="N/A","— N/A","○ Not tested")))</f>
        <v/>
      </c>
      <c r="E515" s="245" t="n"/>
      <c r="F515" s="245">
        <f>IF('L3 Reports'!P27&lt;&gt;"",'L3 Reports'!P27,"")</f>
        <v/>
      </c>
    </row>
    <row r="516" ht="16" customHeight="1" s="125">
      <c r="A516" s="244">
        <f>'L3 Reports'!A28</f>
        <v/>
      </c>
      <c r="B516" s="245">
        <f>"   ↳  "&amp;IF('L3 Reports'!H28="Yes","★ ","")&amp;'L3 Reports'!C28</f>
        <v/>
      </c>
      <c r="C516" s="204" t="n"/>
      <c r="D516" s="240">
        <f>IF('L3 Reports'!M28="Met","✓ Met",IF('L3 Reports'!M28="Not Met","✗ Not met",IF('L3 Reports'!M28="N/A","— N/A","○ Not tested")))</f>
        <v/>
      </c>
      <c r="E516" s="245" t="n"/>
      <c r="F516" s="245">
        <f>IF('L3 Reports'!P28&lt;&gt;"",'L3 Reports'!P28,"")</f>
        <v/>
      </c>
    </row>
    <row r="517" ht="43" customHeight="1" s="125">
      <c r="A517" s="238">
        <f>'L3 Reports'!A29</f>
        <v/>
      </c>
      <c r="B517" s="239">
        <f>'L3 Reports'!C29&amp;CHAR(10)&amp;"["&amp;'L3 Reports'!B29&amp;" · "&amp;'L3 Reports'!G29&amp;"]"</f>
        <v/>
      </c>
      <c r="C517" s="240">
        <f>IF('L3 Reports'!I29=0,"Info only",IF('L3 Reports'!H29="Yes","★ CRITICAL"&amp;CHAR(10),IF('L3 Reports'!H29="★ subs","★ critical sub-items"&amp;CHAR(10),""))&amp;'L3 Reports'!J29&amp;" · W"&amp;'L3 Reports'!I29)</f>
        <v/>
      </c>
      <c r="D517" s="226">
        <f>IF('L3 Reports'!I29=0,"— Not scored",IF('L3 Reports'!J29="Tier",IF('L3 Reports'!M29="Fully integrated","✓ FULLY INTEGRATED",IF('L3 Reports'!M29="Not Met","✗ NOT MET",IF('L3 Reports'!M29="Not Tested","○ NOT TESTED","◐ "&amp;UPPER('L3 Reports'!M29)))),IF('L3 Reports'!M29="Met","✓ MET",IF('L3 Reports'!M29="Not Met","✗ NOT MET",IF('L3 Reports'!M29="N/A","— N/A",IF('L3 Reports'!M29="Counted",IF(AND('L3 Reports'!N29&gt;=1,'L3 Reports'!S29=0),"✓ MET",IF('L3 Reports'!J29="All-or-nothing","✗ NOT MET",IF('L3 Reports'!S29=1,"✗ NOT MET (★)","◐ PARTIAL")))&amp;CHAR(10)&amp;"("&amp;'L3 Reports'!L29&amp;" of "&amp;'L3 Reports'!K29&amp;")","○ NOT TESTED"))))))</f>
        <v/>
      </c>
      <c r="E517" s="241">
        <f>IF('L3 Reports'!N29="","—",'L3 Reports'!N29)</f>
        <v/>
      </c>
      <c r="F517" s="223">
        <f>'L3 Reports'!O29&amp;IF('L3 Reports'!P29&lt;&gt;"",CHAR(10)&amp;"Notes: "&amp;'L3 Reports'!P29,"")</f>
        <v/>
      </c>
    </row>
    <row r="518" ht="76" customHeight="1" s="125">
      <c r="A518" s="242" t="n"/>
      <c r="B518" s="243">
        <f>"Developer's Guide: "&amp;IFERROR(LEFT('L3 Reports'!D29,FIND(CHAR(10)&amp;CHAR(10)&amp;"Purpose:",'L3 Reports'!D29)-1),'L3 Reports'!D29)</f>
        <v/>
      </c>
      <c r="C518" s="243">
        <f>"Validator's Guide: "&amp;'L3 Reports'!E29&amp;CHAR(10)&amp;"Evidence: "&amp;'L3 Reports'!F29</f>
        <v/>
      </c>
      <c r="D518" s="203" t="n"/>
      <c r="E518" s="203" t="n"/>
      <c r="F518" s="204" t="n"/>
    </row>
    <row r="519" ht="16" customHeight="1" s="125">
      <c r="A519" s="244">
        <f>'L3 Reports'!A30</f>
        <v/>
      </c>
      <c r="B519" s="245">
        <f>"   ↳  "&amp;IF('L3 Reports'!H30="Yes","★ ","")&amp;'L3 Reports'!C30</f>
        <v/>
      </c>
      <c r="C519" s="204" t="n"/>
      <c r="D519" s="240">
        <f>IF('L3 Reports'!M30="Met","✓ Met",IF('L3 Reports'!M30="Not Met","✗ Not met",IF('L3 Reports'!M30="N/A","— N/A","○ Not tested")))</f>
        <v/>
      </c>
      <c r="E519" s="245" t="n"/>
      <c r="F519" s="245">
        <f>IF('L3 Reports'!P30&lt;&gt;"",'L3 Reports'!P30,"")</f>
        <v/>
      </c>
    </row>
    <row r="520" ht="16" customHeight="1" s="125">
      <c r="A520" s="244">
        <f>'L3 Reports'!A31</f>
        <v/>
      </c>
      <c r="B520" s="245">
        <f>"   ↳  "&amp;IF('L3 Reports'!H31="Yes","★ ","")&amp;'L3 Reports'!C31</f>
        <v/>
      </c>
      <c r="C520" s="204" t="n"/>
      <c r="D520" s="240">
        <f>IF('L3 Reports'!M31="Met","✓ Met",IF('L3 Reports'!M31="Not Met","✗ Not met",IF('L3 Reports'!M31="N/A","— N/A","○ Not tested")))</f>
        <v/>
      </c>
      <c r="E520" s="245" t="n"/>
      <c r="F520" s="245">
        <f>IF('L3 Reports'!P31&lt;&gt;"",'L3 Reports'!P31,"")</f>
        <v/>
      </c>
    </row>
    <row r="521" ht="43" customHeight="1" s="125">
      <c r="A521" s="238">
        <f>'L3 Reports'!A32</f>
        <v/>
      </c>
      <c r="B521" s="239">
        <f>'L3 Reports'!C32&amp;CHAR(10)&amp;"["&amp;'L3 Reports'!B32&amp;" · "&amp;'L3 Reports'!G32&amp;"]"</f>
        <v/>
      </c>
      <c r="C521" s="240">
        <f>IF('L3 Reports'!I32=0,"Info only",IF('L3 Reports'!H32="Yes","★ CRITICAL"&amp;CHAR(10),IF('L3 Reports'!H32="★ subs","★ critical sub-items"&amp;CHAR(10),""))&amp;'L3 Reports'!J32&amp;" · W"&amp;'L3 Reports'!I32)</f>
        <v/>
      </c>
      <c r="D521" s="226">
        <f>IF('L3 Reports'!I32=0,"— Not scored",IF('L3 Reports'!J32="Tier",IF('L3 Reports'!M32="Fully integrated","✓ FULLY INTEGRATED",IF('L3 Reports'!M32="Not Met","✗ NOT MET",IF('L3 Reports'!M32="Not Tested","○ NOT TESTED","◐ "&amp;UPPER('L3 Reports'!M32)))),IF('L3 Reports'!M32="Met","✓ MET",IF('L3 Reports'!M32="Not Met","✗ NOT MET",IF('L3 Reports'!M32="N/A","— N/A",IF('L3 Reports'!M32="Counted",IF(AND('L3 Reports'!N32&gt;=1,'L3 Reports'!S32=0),"✓ MET",IF('L3 Reports'!J32="All-or-nothing","✗ NOT MET",IF('L3 Reports'!S32=1,"✗ NOT MET (★)","◐ PARTIAL")))&amp;CHAR(10)&amp;"("&amp;'L3 Reports'!L32&amp;" of "&amp;'L3 Reports'!K32&amp;")","○ NOT TESTED"))))))</f>
        <v/>
      </c>
      <c r="E521" s="241">
        <f>IF('L3 Reports'!N32="","—",'L3 Reports'!N32)</f>
        <v/>
      </c>
      <c r="F521" s="223">
        <f>'L3 Reports'!O32&amp;IF('L3 Reports'!P32&lt;&gt;"",CHAR(10)&amp;"Notes: "&amp;'L3 Reports'!P32,"")</f>
        <v/>
      </c>
    </row>
    <row r="522" ht="76" customHeight="1" s="125">
      <c r="A522" s="242" t="n"/>
      <c r="B522" s="243">
        <f>"Developer's Guide: "&amp;IFERROR(LEFT('L3 Reports'!D32,FIND(CHAR(10)&amp;CHAR(10)&amp;"Purpose:",'L3 Reports'!D32)-1),'L3 Reports'!D32)</f>
        <v/>
      </c>
      <c r="C522" s="243">
        <f>"Validator's Guide: "&amp;'L3 Reports'!E32&amp;CHAR(10)&amp;"Evidence: "&amp;'L3 Reports'!F32</f>
        <v/>
      </c>
      <c r="D522" s="203" t="n"/>
      <c r="E522" s="203" t="n"/>
      <c r="F522" s="204" t="n"/>
    </row>
    <row r="523" ht="16" customHeight="1" s="125">
      <c r="A523" s="244">
        <f>'L3 Reports'!A33</f>
        <v/>
      </c>
      <c r="B523" s="245">
        <f>"   ↳  "&amp;IF('L3 Reports'!H33="Yes","★ ","")&amp;'L3 Reports'!C33</f>
        <v/>
      </c>
      <c r="C523" s="204" t="n"/>
      <c r="D523" s="240">
        <f>IF('L3 Reports'!M33="Met","✓ Met",IF('L3 Reports'!M33="Not Met","✗ Not met",IF('L3 Reports'!M33="N/A","— N/A","○ Not tested")))</f>
        <v/>
      </c>
      <c r="E523" s="245" t="n"/>
      <c r="F523" s="245">
        <f>IF('L3 Reports'!P33&lt;&gt;"",'L3 Reports'!P33,"")</f>
        <v/>
      </c>
    </row>
    <row r="524" ht="16" customHeight="1" s="125">
      <c r="A524" s="244">
        <f>'L3 Reports'!A34</f>
        <v/>
      </c>
      <c r="B524" s="245">
        <f>"   ↳  "&amp;IF('L3 Reports'!H34="Yes","★ ","")&amp;'L3 Reports'!C34</f>
        <v/>
      </c>
      <c r="C524" s="204" t="n"/>
      <c r="D524" s="240">
        <f>IF('L3 Reports'!M34="Met","✓ Met",IF('L3 Reports'!M34="Not Met","✗ Not met",IF('L3 Reports'!M34="N/A","— N/A","○ Not tested")))</f>
        <v/>
      </c>
      <c r="E524" s="245" t="n"/>
      <c r="F524" s="245">
        <f>IF('L3 Reports'!P34&lt;&gt;"",'L3 Reports'!P34,"")</f>
        <v/>
      </c>
    </row>
    <row r="525" ht="16" customHeight="1" s="125">
      <c r="A525" s="244">
        <f>'L3 Reports'!A35</f>
        <v/>
      </c>
      <c r="B525" s="245">
        <f>"   ↳  "&amp;IF('L3 Reports'!H35="Yes","★ ","")&amp;'L3 Reports'!C35</f>
        <v/>
      </c>
      <c r="C525" s="204" t="n"/>
      <c r="D525" s="240">
        <f>IF('L3 Reports'!M35="Met","✓ Met",IF('L3 Reports'!M35="Not Met","✗ Not met",IF('L3 Reports'!M35="N/A","— N/A","○ Not tested")))</f>
        <v/>
      </c>
      <c r="E525" s="245" t="n"/>
      <c r="F525" s="245">
        <f>IF('L3 Reports'!P35&lt;&gt;"",'L3 Reports'!P35,"")</f>
        <v/>
      </c>
    </row>
    <row r="526" ht="16" customHeight="1" s="125">
      <c r="A526" s="244">
        <f>'L3 Reports'!A36</f>
        <v/>
      </c>
      <c r="B526" s="245">
        <f>"   ↳  "&amp;IF('L3 Reports'!H36="Yes","★ ","")&amp;'L3 Reports'!C36</f>
        <v/>
      </c>
      <c r="C526" s="204" t="n"/>
      <c r="D526" s="240">
        <f>IF('L3 Reports'!M36="Met","✓ Met",IF('L3 Reports'!M36="Not Met","✗ Not met",IF('L3 Reports'!M36="N/A","— N/A","○ Not tested")))</f>
        <v/>
      </c>
      <c r="E526" s="245" t="n"/>
      <c r="F526" s="245">
        <f>IF('L3 Reports'!P36&lt;&gt;"",'L3 Reports'!P36,"")</f>
        <v/>
      </c>
    </row>
    <row r="527" ht="43" customHeight="1" s="125">
      <c r="A527" s="238">
        <f>'L3 Reports'!A37</f>
        <v/>
      </c>
      <c r="B527" s="239">
        <f>'L3 Reports'!C37&amp;CHAR(10)&amp;"["&amp;'L3 Reports'!B37&amp;" · "&amp;'L3 Reports'!G37&amp;"]"</f>
        <v/>
      </c>
      <c r="C527" s="240">
        <f>IF('L3 Reports'!I37=0,"Info only",IF('L3 Reports'!H37="Yes","★ CRITICAL"&amp;CHAR(10),IF('L3 Reports'!H37="★ subs","★ critical sub-items"&amp;CHAR(10),""))&amp;'L3 Reports'!J37&amp;" · W"&amp;'L3 Reports'!I37)</f>
        <v/>
      </c>
      <c r="D527" s="226">
        <f>IF('L3 Reports'!I37=0,"— Not scored",IF('L3 Reports'!J37="Tier",IF('L3 Reports'!M37="Fully integrated","✓ FULLY INTEGRATED",IF('L3 Reports'!M37="Not Met","✗ NOT MET",IF('L3 Reports'!M37="Not Tested","○ NOT TESTED","◐ "&amp;UPPER('L3 Reports'!M37)))),IF('L3 Reports'!M37="Met","✓ MET",IF('L3 Reports'!M37="Not Met","✗ NOT MET",IF('L3 Reports'!M37="N/A","— N/A",IF('L3 Reports'!M37="Counted",IF(AND('L3 Reports'!N37&gt;=1,'L3 Reports'!S37=0),"✓ MET",IF('L3 Reports'!J37="All-or-nothing","✗ NOT MET",IF('L3 Reports'!S37=1,"✗ NOT MET (★)","◐ PARTIAL")))&amp;CHAR(10)&amp;"("&amp;'L3 Reports'!L37&amp;" of "&amp;'L3 Reports'!K37&amp;")","○ NOT TESTED"))))))</f>
        <v/>
      </c>
      <c r="E527" s="241">
        <f>IF('L3 Reports'!N37="","—",'L3 Reports'!N37)</f>
        <v/>
      </c>
      <c r="F527" s="223">
        <f>'L3 Reports'!O37&amp;IF('L3 Reports'!P37&lt;&gt;"",CHAR(10)&amp;"Notes: "&amp;'L3 Reports'!P37,"")</f>
        <v/>
      </c>
    </row>
    <row r="528" ht="76" customHeight="1" s="125">
      <c r="A528" s="242" t="n"/>
      <c r="B528" s="243">
        <f>"Developer's Guide: "&amp;IFERROR(LEFT('L3 Reports'!D37,FIND(CHAR(10)&amp;CHAR(10)&amp;"Purpose:",'L3 Reports'!D37)-1),'L3 Reports'!D37)</f>
        <v/>
      </c>
      <c r="C528" s="243">
        <f>"Validator's Guide: "&amp;'L3 Reports'!E37&amp;CHAR(10)&amp;"Evidence: "&amp;'L3 Reports'!F37</f>
        <v/>
      </c>
      <c r="D528" s="203" t="n"/>
      <c r="E528" s="203" t="n"/>
      <c r="F528" s="204" t="n"/>
    </row>
    <row r="529" ht="16" customHeight="1" s="125">
      <c r="A529" s="244">
        <f>'L3 Reports'!A38</f>
        <v/>
      </c>
      <c r="B529" s="245">
        <f>"   ↳  "&amp;IF('L3 Reports'!H38="Yes","★ ","")&amp;'L3 Reports'!C38</f>
        <v/>
      </c>
      <c r="C529" s="204" t="n"/>
      <c r="D529" s="240">
        <f>IF('L3 Reports'!M38="Met","✓ Met",IF('L3 Reports'!M38="Not Met","✗ Not met",IF('L3 Reports'!M38="N/A","— N/A","○ Not tested")))</f>
        <v/>
      </c>
      <c r="E529" s="245" t="n"/>
      <c r="F529" s="245">
        <f>IF('L3 Reports'!P38&lt;&gt;"",'L3 Reports'!P38,"")</f>
        <v/>
      </c>
    </row>
    <row r="530" ht="16" customHeight="1" s="125">
      <c r="A530" s="244">
        <f>'L3 Reports'!A39</f>
        <v/>
      </c>
      <c r="B530" s="245">
        <f>"   ↳  "&amp;IF('L3 Reports'!H39="Yes","★ ","")&amp;'L3 Reports'!C39</f>
        <v/>
      </c>
      <c r="C530" s="204" t="n"/>
      <c r="D530" s="240">
        <f>IF('L3 Reports'!M39="Met","✓ Met",IF('L3 Reports'!M39="Not Met","✗ Not met",IF('L3 Reports'!M39="N/A","— N/A","○ Not tested")))</f>
        <v/>
      </c>
      <c r="E530" s="245" t="n"/>
      <c r="F530" s="245">
        <f>IF('L3 Reports'!P39&lt;&gt;"",'L3 Reports'!P39,"")</f>
        <v/>
      </c>
    </row>
    <row r="531" ht="16" customHeight="1" s="125">
      <c r="A531" s="244">
        <f>'L3 Reports'!A40</f>
        <v/>
      </c>
      <c r="B531" s="245">
        <f>"   ↳  "&amp;IF('L3 Reports'!H40="Yes","★ ","")&amp;'L3 Reports'!C40</f>
        <v/>
      </c>
      <c r="C531" s="204" t="n"/>
      <c r="D531" s="240">
        <f>IF('L3 Reports'!M40="Met","✓ Met",IF('L3 Reports'!M40="Not Met","✗ Not met",IF('L3 Reports'!M40="N/A","— N/A","○ Not tested")))</f>
        <v/>
      </c>
      <c r="E531" s="245" t="n"/>
      <c r="F531" s="245">
        <f>IF('L3 Reports'!P40&lt;&gt;"",'L3 Reports'!P40,"")</f>
        <v/>
      </c>
    </row>
    <row r="532" ht="16" customHeight="1" s="125">
      <c r="A532" s="244">
        <f>'L3 Reports'!A41</f>
        <v/>
      </c>
      <c r="B532" s="245">
        <f>"   ↳  "&amp;IF('L3 Reports'!H41="Yes","★ ","")&amp;'L3 Reports'!C41</f>
        <v/>
      </c>
      <c r="C532" s="204" t="n"/>
      <c r="D532" s="240">
        <f>IF('L3 Reports'!M41="Met","✓ Met",IF('L3 Reports'!M41="Not Met","✗ Not met",IF('L3 Reports'!M41="N/A","— N/A","○ Not tested")))</f>
        <v/>
      </c>
      <c r="E532" s="245" t="n"/>
      <c r="F532" s="245">
        <f>IF('L3 Reports'!P41&lt;&gt;"",'L3 Reports'!P41,"")</f>
        <v/>
      </c>
    </row>
    <row r="533" ht="43" customHeight="1" s="125">
      <c r="A533" s="238">
        <f>'L3 Reports'!A42</f>
        <v/>
      </c>
      <c r="B533" s="239">
        <f>'L3 Reports'!C42&amp;CHAR(10)&amp;"["&amp;'L3 Reports'!B42&amp;" · "&amp;'L3 Reports'!G42&amp;"]"</f>
        <v/>
      </c>
      <c r="C533" s="240">
        <f>IF('L3 Reports'!I42=0,"Info only",IF('L3 Reports'!H42="Yes","★ CRITICAL"&amp;CHAR(10),IF('L3 Reports'!H42="★ subs","★ critical sub-items"&amp;CHAR(10),""))&amp;'L3 Reports'!J42&amp;" · W"&amp;'L3 Reports'!I42)</f>
        <v/>
      </c>
      <c r="D533" s="226">
        <f>IF('L3 Reports'!I42=0,"— Not scored",IF('L3 Reports'!J42="Tier",IF('L3 Reports'!M42="Fully integrated","✓ FULLY INTEGRATED",IF('L3 Reports'!M42="Not Met","✗ NOT MET",IF('L3 Reports'!M42="Not Tested","○ NOT TESTED","◐ "&amp;UPPER('L3 Reports'!M42)))),IF('L3 Reports'!M42="Met","✓ MET",IF('L3 Reports'!M42="Not Met","✗ NOT MET",IF('L3 Reports'!M42="N/A","— N/A",IF('L3 Reports'!M42="Counted",IF(AND('L3 Reports'!N42&gt;=1,'L3 Reports'!S42=0),"✓ MET",IF('L3 Reports'!J42="All-or-nothing","✗ NOT MET",IF('L3 Reports'!S42=1,"✗ NOT MET (★)","◐ PARTIAL")))&amp;CHAR(10)&amp;"("&amp;'L3 Reports'!L42&amp;" of "&amp;'L3 Reports'!K42&amp;")","○ NOT TESTED"))))))</f>
        <v/>
      </c>
      <c r="E533" s="241">
        <f>IF('L3 Reports'!N42="","—",'L3 Reports'!N42)</f>
        <v/>
      </c>
      <c r="F533" s="223">
        <f>'L3 Reports'!O42&amp;IF('L3 Reports'!P42&lt;&gt;"",CHAR(10)&amp;"Notes: "&amp;'L3 Reports'!P42,"")</f>
        <v/>
      </c>
    </row>
    <row r="534" ht="76" customHeight="1" s="125">
      <c r="A534" s="242" t="n"/>
      <c r="B534" s="243">
        <f>"Developer's Guide: "&amp;IFERROR(LEFT('L3 Reports'!D42,FIND(CHAR(10)&amp;CHAR(10)&amp;"Purpose:",'L3 Reports'!D42)-1),'L3 Reports'!D42)</f>
        <v/>
      </c>
      <c r="C534" s="243">
        <f>"Validator's Guide: "&amp;'L3 Reports'!E42&amp;CHAR(10)&amp;"Evidence: "&amp;'L3 Reports'!F42</f>
        <v/>
      </c>
      <c r="D534" s="203" t="n"/>
      <c r="E534" s="203" t="n"/>
      <c r="F534" s="204" t="n"/>
    </row>
    <row r="535" ht="16" customHeight="1" s="125">
      <c r="A535" s="244">
        <f>'L3 Reports'!A43</f>
        <v/>
      </c>
      <c r="B535" s="245">
        <f>"   ↳  "&amp;IF('L3 Reports'!H43="Yes","★ ","")&amp;'L3 Reports'!C43</f>
        <v/>
      </c>
      <c r="C535" s="204" t="n"/>
      <c r="D535" s="240">
        <f>IF('L3 Reports'!M43="Met","✓ Met",IF('L3 Reports'!M43="Not Met","✗ Not met",IF('L3 Reports'!M43="N/A","— N/A","○ Not tested")))</f>
        <v/>
      </c>
      <c r="E535" s="245" t="n"/>
      <c r="F535" s="245">
        <f>IF('L3 Reports'!P43&lt;&gt;"",'L3 Reports'!P43,"")</f>
        <v/>
      </c>
    </row>
    <row r="536" ht="16" customHeight="1" s="125">
      <c r="A536" s="244">
        <f>'L3 Reports'!A44</f>
        <v/>
      </c>
      <c r="B536" s="245">
        <f>"   ↳  "&amp;IF('L3 Reports'!H44="Yes","★ ","")&amp;'L3 Reports'!C44</f>
        <v/>
      </c>
      <c r="C536" s="204" t="n"/>
      <c r="D536" s="240">
        <f>IF('L3 Reports'!M44="Met","✓ Met",IF('L3 Reports'!M44="Not Met","✗ Not met",IF('L3 Reports'!M44="N/A","— N/A","○ Not tested")))</f>
        <v/>
      </c>
      <c r="E536" s="245" t="n"/>
      <c r="F536" s="245">
        <f>IF('L3 Reports'!P44&lt;&gt;"",'L3 Reports'!P44,"")</f>
        <v/>
      </c>
    </row>
    <row r="537" ht="16" customHeight="1" s="125">
      <c r="A537" s="244">
        <f>'L3 Reports'!A45</f>
        <v/>
      </c>
      <c r="B537" s="245">
        <f>"   ↳  "&amp;IF('L3 Reports'!H45="Yes","★ ","")&amp;'L3 Reports'!C45</f>
        <v/>
      </c>
      <c r="C537" s="204" t="n"/>
      <c r="D537" s="240">
        <f>IF('L3 Reports'!M45="Met","✓ Met",IF('L3 Reports'!M45="Not Met","✗ Not met",IF('L3 Reports'!M45="N/A","— N/A","○ Not tested")))</f>
        <v/>
      </c>
      <c r="E537" s="245" t="n"/>
      <c r="F537" s="245">
        <f>IF('L3 Reports'!P45&lt;&gt;"",'L3 Reports'!P45,"")</f>
        <v/>
      </c>
    </row>
    <row r="538" ht="16" customHeight="1" s="125">
      <c r="A538" s="244">
        <f>'L3 Reports'!A46</f>
        <v/>
      </c>
      <c r="B538" s="245">
        <f>"   ↳  "&amp;IF('L3 Reports'!H46="Yes","★ ","")&amp;'L3 Reports'!C46</f>
        <v/>
      </c>
      <c r="C538" s="204" t="n"/>
      <c r="D538" s="240">
        <f>IF('L3 Reports'!M46="Met","✓ Met",IF('L3 Reports'!M46="Not Met","✗ Not met",IF('L3 Reports'!M46="N/A","— N/A","○ Not tested")))</f>
        <v/>
      </c>
      <c r="E538" s="245" t="n"/>
      <c r="F538" s="245">
        <f>IF('L3 Reports'!P46&lt;&gt;"",'L3 Reports'!P46,"")</f>
        <v/>
      </c>
    </row>
    <row r="539" ht="16" customHeight="1" s="125">
      <c r="A539" s="244">
        <f>'L3 Reports'!A47</f>
        <v/>
      </c>
      <c r="B539" s="245">
        <f>"   ↳  "&amp;IF('L3 Reports'!H47="Yes","★ ","")&amp;'L3 Reports'!C47</f>
        <v/>
      </c>
      <c r="C539" s="204" t="n"/>
      <c r="D539" s="240">
        <f>IF('L3 Reports'!M47="Met","✓ Met",IF('L3 Reports'!M47="Not Met","✗ Not met",IF('L3 Reports'!M47="N/A","— N/A","○ Not tested")))</f>
        <v/>
      </c>
      <c r="E539" s="245" t="n"/>
      <c r="F539" s="245">
        <f>IF('L3 Reports'!P47&lt;&gt;"",'L3 Reports'!P47,"")</f>
        <v/>
      </c>
    </row>
    <row r="540" ht="56" customHeight="1" s="125">
      <c r="A540" s="238">
        <f>'L3 Reports'!A48</f>
        <v/>
      </c>
      <c r="B540" s="239">
        <f>'L3 Reports'!C48&amp;CHAR(10)&amp;"["&amp;'L3 Reports'!B48&amp;" · "&amp;'L3 Reports'!G48&amp;"]"</f>
        <v/>
      </c>
      <c r="C540" s="240">
        <f>IF('L3 Reports'!I48=0,"Info only",IF('L3 Reports'!H48="Yes","★ CRITICAL"&amp;CHAR(10),IF('L3 Reports'!H48="★ subs","★ critical sub-items"&amp;CHAR(10),""))&amp;'L3 Reports'!J48&amp;" · W"&amp;'L3 Reports'!I48)</f>
        <v/>
      </c>
      <c r="D540" s="226">
        <f>IF('L3 Reports'!I48=0,"— Not scored",IF('L3 Reports'!J48="Tier",IF('L3 Reports'!M48="Fully integrated","✓ FULLY INTEGRATED",IF('L3 Reports'!M48="Not Met","✗ NOT MET",IF('L3 Reports'!M48="Not Tested","○ NOT TESTED","◐ "&amp;UPPER('L3 Reports'!M48)))),IF('L3 Reports'!M48="Met","✓ MET",IF('L3 Reports'!M48="Not Met","✗ NOT MET",IF('L3 Reports'!M48="N/A","— N/A",IF('L3 Reports'!M48="Counted",IF(AND('L3 Reports'!N48&gt;=1,'L3 Reports'!S48=0),"✓ MET",IF('L3 Reports'!J48="All-or-nothing","✗ NOT MET",IF('L3 Reports'!S48=1,"✗ NOT MET (★)","◐ PARTIAL")))&amp;CHAR(10)&amp;"("&amp;'L3 Reports'!L48&amp;" of "&amp;'L3 Reports'!K48&amp;")","○ NOT TESTED"))))))</f>
        <v/>
      </c>
      <c r="E540" s="241">
        <f>IF('L3 Reports'!N48="","—",'L3 Reports'!N48)</f>
        <v/>
      </c>
      <c r="F540" s="223">
        <f>'L3 Reports'!O48&amp;IF('L3 Reports'!P48&lt;&gt;"",CHAR(10)&amp;"Notes: "&amp;'L3 Reports'!P48,"")</f>
        <v/>
      </c>
    </row>
    <row r="541" ht="64" customHeight="1" s="125">
      <c r="A541" s="242" t="n"/>
      <c r="B541" s="243">
        <f>"Developer's Guide: "&amp;IFERROR(LEFT('L3 Reports'!D48,FIND(CHAR(10)&amp;CHAR(10)&amp;"Purpose:",'L3 Reports'!D48)-1),'L3 Reports'!D48)</f>
        <v/>
      </c>
      <c r="C541" s="243">
        <f>"Validator's Guide: "&amp;'L3 Reports'!E48&amp;CHAR(10)&amp;"Evidence: "&amp;'L3 Reports'!F48</f>
        <v/>
      </c>
      <c r="D541" s="203" t="n"/>
      <c r="E541" s="203" t="n"/>
      <c r="F541" s="204" t="n"/>
    </row>
    <row r="542" ht="43" customHeight="1" s="125">
      <c r="A542" s="238">
        <f>'L3 Reports'!A49</f>
        <v/>
      </c>
      <c r="B542" s="239">
        <f>'L3 Reports'!C49&amp;CHAR(10)&amp;"["&amp;'L3 Reports'!B49&amp;" · "&amp;'L3 Reports'!G49&amp;"]"</f>
        <v/>
      </c>
      <c r="C542" s="240">
        <f>IF('L3 Reports'!I49=0,"Info only",IF('L3 Reports'!H49="Yes","★ CRITICAL"&amp;CHAR(10),IF('L3 Reports'!H49="★ subs","★ critical sub-items"&amp;CHAR(10),""))&amp;'L3 Reports'!J49&amp;" · W"&amp;'L3 Reports'!I49)</f>
        <v/>
      </c>
      <c r="D542" s="226">
        <f>IF('L3 Reports'!I49=0,"— Not scored",IF('L3 Reports'!J49="Tier",IF('L3 Reports'!M49="Fully integrated","✓ FULLY INTEGRATED",IF('L3 Reports'!M49="Not Met","✗ NOT MET",IF('L3 Reports'!M49="Not Tested","○ NOT TESTED","◐ "&amp;UPPER('L3 Reports'!M49)))),IF('L3 Reports'!M49="Met","✓ MET",IF('L3 Reports'!M49="Not Met","✗ NOT MET",IF('L3 Reports'!M49="N/A","— N/A",IF('L3 Reports'!M49="Counted",IF(AND('L3 Reports'!N49&gt;=1,'L3 Reports'!S49=0),"✓ MET",IF('L3 Reports'!J49="All-or-nothing","✗ NOT MET",IF('L3 Reports'!S49=1,"✗ NOT MET (★)","◐ PARTIAL")))&amp;CHAR(10)&amp;"("&amp;'L3 Reports'!L49&amp;" of "&amp;'L3 Reports'!K49&amp;")","○ NOT TESTED"))))))</f>
        <v/>
      </c>
      <c r="E542" s="241">
        <f>IF('L3 Reports'!N49="","—",'L3 Reports'!N49)</f>
        <v/>
      </c>
      <c r="F542" s="223">
        <f>'L3 Reports'!O49&amp;IF('L3 Reports'!P49&lt;&gt;"",CHAR(10)&amp;"Notes: "&amp;'L3 Reports'!P49,"")</f>
        <v/>
      </c>
    </row>
    <row r="543" ht="64" customHeight="1" s="125">
      <c r="A543" s="242" t="n"/>
      <c r="B543" s="243">
        <f>"Developer's Guide: "&amp;IFERROR(LEFT('L3 Reports'!D49,FIND(CHAR(10)&amp;CHAR(10)&amp;"Purpose:",'L3 Reports'!D49)-1),'L3 Reports'!D49)</f>
        <v/>
      </c>
      <c r="C543" s="243">
        <f>"Validator's Guide: "&amp;'L3 Reports'!E49&amp;CHAR(10)&amp;"Evidence: "&amp;'L3 Reports'!F49</f>
        <v/>
      </c>
      <c r="D543" s="203" t="n"/>
      <c r="E543" s="203" t="n"/>
      <c r="F543" s="204" t="n"/>
    </row>
    <row r="544" ht="56" customHeight="1" s="125">
      <c r="A544" s="238">
        <f>'L3 Reports'!A50</f>
        <v/>
      </c>
      <c r="B544" s="239">
        <f>'L3 Reports'!C50&amp;CHAR(10)&amp;"["&amp;'L3 Reports'!B50&amp;" · "&amp;'L3 Reports'!G50&amp;"]"</f>
        <v/>
      </c>
      <c r="C544" s="240">
        <f>IF('L3 Reports'!I50=0,"Info only",IF('L3 Reports'!H50="Yes","★ CRITICAL"&amp;CHAR(10),IF('L3 Reports'!H50="★ subs","★ critical sub-items"&amp;CHAR(10),""))&amp;'L3 Reports'!J50&amp;" · W"&amp;'L3 Reports'!I50)</f>
        <v/>
      </c>
      <c r="D544" s="226">
        <f>IF('L3 Reports'!I50=0,"— Not scored",IF('L3 Reports'!J50="Tier",IF('L3 Reports'!M50="Fully integrated","✓ FULLY INTEGRATED",IF('L3 Reports'!M50="Not Met","✗ NOT MET",IF('L3 Reports'!M50="Not Tested","○ NOT TESTED","◐ "&amp;UPPER('L3 Reports'!M50)))),IF('L3 Reports'!M50="Met","✓ MET",IF('L3 Reports'!M50="Not Met","✗ NOT MET",IF('L3 Reports'!M50="N/A","— N/A",IF('L3 Reports'!M50="Counted",IF(AND('L3 Reports'!N50&gt;=1,'L3 Reports'!S50=0),"✓ MET",IF('L3 Reports'!J50="All-or-nothing","✗ NOT MET",IF('L3 Reports'!S50=1,"✗ NOT MET (★)","◐ PARTIAL")))&amp;CHAR(10)&amp;"("&amp;'L3 Reports'!L50&amp;" of "&amp;'L3 Reports'!K50&amp;")","○ NOT TESTED"))))))</f>
        <v/>
      </c>
      <c r="E544" s="241">
        <f>IF('L3 Reports'!N50="","—",'L3 Reports'!N50)</f>
        <v/>
      </c>
      <c r="F544" s="223">
        <f>'L3 Reports'!O50&amp;IF('L3 Reports'!P50&lt;&gt;"",CHAR(10)&amp;"Notes: "&amp;'L3 Reports'!P50,"")</f>
        <v/>
      </c>
    </row>
    <row r="545" ht="40" customHeight="1" s="125">
      <c r="A545" s="242" t="n"/>
      <c r="B545" s="243">
        <f>"Developer's Guide: "&amp;IFERROR(LEFT('L3 Reports'!D50,FIND(CHAR(10)&amp;CHAR(10)&amp;"Purpose:",'L3 Reports'!D50)-1),'L3 Reports'!D50)</f>
        <v/>
      </c>
      <c r="C545" s="243">
        <f>"Validator's Guide: "&amp;'L3 Reports'!E50&amp;CHAR(10)&amp;"Evidence: "&amp;'L3 Reports'!F50</f>
        <v/>
      </c>
      <c r="D545" s="203" t="n"/>
      <c r="E545" s="203" t="n"/>
      <c r="F545" s="204" t="n"/>
    </row>
    <row r="546" ht="56" customHeight="1" s="125">
      <c r="A546" s="238">
        <f>'L3 Reports'!A51</f>
        <v/>
      </c>
      <c r="B546" s="239">
        <f>'L3 Reports'!C51&amp;CHAR(10)&amp;"["&amp;'L3 Reports'!B51&amp;" · "&amp;'L3 Reports'!G51&amp;"]"</f>
        <v/>
      </c>
      <c r="C546" s="240">
        <f>IF('L3 Reports'!I51=0,"Info only",IF('L3 Reports'!H51="Yes","★ CRITICAL"&amp;CHAR(10),IF('L3 Reports'!H51="★ subs","★ critical sub-items"&amp;CHAR(10),""))&amp;'L3 Reports'!J51&amp;" · W"&amp;'L3 Reports'!I51)</f>
        <v/>
      </c>
      <c r="D546" s="226">
        <f>IF('L3 Reports'!I51=0,"— Not scored",IF('L3 Reports'!J51="Tier",IF('L3 Reports'!M51="Fully integrated","✓ FULLY INTEGRATED",IF('L3 Reports'!M51="Not Met","✗ NOT MET",IF('L3 Reports'!M51="Not Tested","○ NOT TESTED","◐ "&amp;UPPER('L3 Reports'!M51)))),IF('L3 Reports'!M51="Met","✓ MET",IF('L3 Reports'!M51="Not Met","✗ NOT MET",IF('L3 Reports'!M51="N/A","— N/A",IF('L3 Reports'!M51="Counted",IF(AND('L3 Reports'!N51&gt;=1,'L3 Reports'!S51=0),"✓ MET",IF('L3 Reports'!J51="All-or-nothing","✗ NOT MET",IF('L3 Reports'!S51=1,"✗ NOT MET (★)","◐ PARTIAL")))&amp;CHAR(10)&amp;"("&amp;'L3 Reports'!L51&amp;" of "&amp;'L3 Reports'!K51&amp;")","○ NOT TESTED"))))))</f>
        <v/>
      </c>
      <c r="E546" s="241">
        <f>IF('L3 Reports'!N51="","—",'L3 Reports'!N51)</f>
        <v/>
      </c>
      <c r="F546" s="223">
        <f>'L3 Reports'!O51&amp;IF('L3 Reports'!P51&lt;&gt;"",CHAR(10)&amp;"Notes: "&amp;'L3 Reports'!P51,"")</f>
        <v/>
      </c>
    </row>
    <row r="547" ht="64" customHeight="1" s="125">
      <c r="A547" s="242" t="n"/>
      <c r="B547" s="243">
        <f>"Developer's Guide: "&amp;IFERROR(LEFT('L3 Reports'!D51,FIND(CHAR(10)&amp;CHAR(10)&amp;"Purpose:",'L3 Reports'!D51)-1),'L3 Reports'!D51)</f>
        <v/>
      </c>
      <c r="C547" s="243">
        <f>"Validator's Guide: "&amp;'L3 Reports'!E51&amp;CHAR(10)&amp;"Evidence: "&amp;'L3 Reports'!F51</f>
        <v/>
      </c>
      <c r="D547" s="203" t="n"/>
      <c r="E547" s="203" t="n"/>
      <c r="F547" s="204" t="n"/>
    </row>
    <row r="548" ht="56" customHeight="1" s="125">
      <c r="A548" s="238">
        <f>'L3 Reports'!A52</f>
        <v/>
      </c>
      <c r="B548" s="239">
        <f>'L3 Reports'!C52&amp;CHAR(10)&amp;"["&amp;'L3 Reports'!B52&amp;" · "&amp;'L3 Reports'!G52&amp;"]"</f>
        <v/>
      </c>
      <c r="C548" s="240">
        <f>IF('L3 Reports'!I52=0,"Info only",IF('L3 Reports'!H52="Yes","★ CRITICAL"&amp;CHAR(10),IF('L3 Reports'!H52="★ subs","★ critical sub-items"&amp;CHAR(10),""))&amp;'L3 Reports'!J52&amp;" · W"&amp;'L3 Reports'!I52)</f>
        <v/>
      </c>
      <c r="D548" s="226">
        <f>IF('L3 Reports'!I52=0,"— Not scored",IF('L3 Reports'!J52="Tier",IF('L3 Reports'!M52="Fully integrated","✓ FULLY INTEGRATED",IF('L3 Reports'!M52="Not Met","✗ NOT MET",IF('L3 Reports'!M52="Not Tested","○ NOT TESTED","◐ "&amp;UPPER('L3 Reports'!M52)))),IF('L3 Reports'!M52="Met","✓ MET",IF('L3 Reports'!M52="Not Met","✗ NOT MET",IF('L3 Reports'!M52="N/A","— N/A",IF('L3 Reports'!M52="Counted",IF(AND('L3 Reports'!N52&gt;=1,'L3 Reports'!S52=0),"✓ MET",IF('L3 Reports'!J52="All-or-nothing","✗ NOT MET",IF('L3 Reports'!S52=1,"✗ NOT MET (★)","◐ PARTIAL")))&amp;CHAR(10)&amp;"("&amp;'L3 Reports'!L52&amp;" of "&amp;'L3 Reports'!K52&amp;")","○ NOT TESTED"))))))</f>
        <v/>
      </c>
      <c r="E548" s="241">
        <f>IF('L3 Reports'!N52="","—",'L3 Reports'!N52)</f>
        <v/>
      </c>
      <c r="F548" s="223">
        <f>'L3 Reports'!O52&amp;IF('L3 Reports'!P52&lt;&gt;"",CHAR(10)&amp;"Notes: "&amp;'L3 Reports'!P52,"")</f>
        <v/>
      </c>
    </row>
    <row r="549" ht="64" customHeight="1" s="125">
      <c r="A549" s="242" t="n"/>
      <c r="B549" s="243">
        <f>"Developer's Guide: "&amp;IFERROR(LEFT('L3 Reports'!D52,FIND(CHAR(10)&amp;CHAR(10)&amp;"Purpose:",'L3 Reports'!D52)-1),'L3 Reports'!D52)</f>
        <v/>
      </c>
      <c r="C549" s="243">
        <f>"Validator's Guide: "&amp;'L3 Reports'!E52&amp;CHAR(10)&amp;"Evidence: "&amp;'L3 Reports'!F52</f>
        <v/>
      </c>
      <c r="D549" s="203" t="n"/>
      <c r="E549" s="203" t="n"/>
      <c r="F549" s="204" t="n"/>
    </row>
    <row r="550" ht="16" customHeight="1" s="125">
      <c r="A550" s="244">
        <f>'L3 Reports'!A53</f>
        <v/>
      </c>
      <c r="B550" s="245">
        <f>"   ↳  "&amp;IF('L3 Reports'!H53="Yes","★ ","")&amp;'L3 Reports'!C53</f>
        <v/>
      </c>
      <c r="C550" s="204" t="n"/>
      <c r="D550" s="240">
        <f>IF('L3 Reports'!M53="Met","✓ Met",IF('L3 Reports'!M53="Not Met","✗ Not met",IF('L3 Reports'!M53="N/A","— N/A","○ Not tested")))</f>
        <v/>
      </c>
      <c r="E550" s="245" t="n"/>
      <c r="F550" s="245">
        <f>IF('L3 Reports'!P53&lt;&gt;"",'L3 Reports'!P53,"")</f>
        <v/>
      </c>
    </row>
    <row r="551" ht="16" customHeight="1" s="125">
      <c r="A551" s="244">
        <f>'L3 Reports'!A54</f>
        <v/>
      </c>
      <c r="B551" s="245">
        <f>"   ↳  "&amp;IF('L3 Reports'!H54="Yes","★ ","")&amp;'L3 Reports'!C54</f>
        <v/>
      </c>
      <c r="C551" s="204" t="n"/>
      <c r="D551" s="240">
        <f>IF('L3 Reports'!M54="Met","✓ Met",IF('L3 Reports'!M54="Not Met","✗ Not met",IF('L3 Reports'!M54="N/A","— N/A","○ Not tested")))</f>
        <v/>
      </c>
      <c r="E551" s="245" t="n"/>
      <c r="F551" s="245">
        <f>IF('L3 Reports'!P54&lt;&gt;"",'L3 Reports'!P54,"")</f>
        <v/>
      </c>
    </row>
    <row r="552" ht="16" customHeight="1" s="125">
      <c r="A552" s="244">
        <f>'L3 Reports'!A55</f>
        <v/>
      </c>
      <c r="B552" s="245">
        <f>"   ↳  "&amp;IF('L3 Reports'!H55="Yes","★ ","")&amp;'L3 Reports'!C55</f>
        <v/>
      </c>
      <c r="C552" s="204" t="n"/>
      <c r="D552" s="240">
        <f>IF('L3 Reports'!M55="Met","✓ Met",IF('L3 Reports'!M55="Not Met","✗ Not met",IF('L3 Reports'!M55="N/A","— N/A","○ Not tested")))</f>
        <v/>
      </c>
      <c r="E552" s="245" t="n"/>
      <c r="F552" s="245">
        <f>IF('L3 Reports'!P55&lt;&gt;"",'L3 Reports'!P55,"")</f>
        <v/>
      </c>
    </row>
    <row r="553" ht="30" customHeight="1" s="125">
      <c r="A553" s="238">
        <f>'L3 Reports'!A56</f>
        <v/>
      </c>
      <c r="B553" s="239">
        <f>'L3 Reports'!C56&amp;CHAR(10)&amp;"["&amp;'L3 Reports'!B56&amp;" · "&amp;'L3 Reports'!G56&amp;"]"</f>
        <v/>
      </c>
      <c r="C553" s="240">
        <f>IF('L3 Reports'!I56=0,"Info only",IF('L3 Reports'!H56="Yes","★ CRITICAL"&amp;CHAR(10),IF('L3 Reports'!H56="★ subs","★ critical sub-items"&amp;CHAR(10),""))&amp;'L3 Reports'!J56&amp;" · W"&amp;'L3 Reports'!I56)</f>
        <v/>
      </c>
      <c r="D553" s="226">
        <f>IF('L3 Reports'!I56=0,"— Not scored",IF('L3 Reports'!J56="Tier",IF('L3 Reports'!M56="Fully integrated","✓ FULLY INTEGRATED",IF('L3 Reports'!M56="Not Met","✗ NOT MET",IF('L3 Reports'!M56="Not Tested","○ NOT TESTED","◐ "&amp;UPPER('L3 Reports'!M56)))),IF('L3 Reports'!M56="Met","✓ MET",IF('L3 Reports'!M56="Not Met","✗ NOT MET",IF('L3 Reports'!M56="N/A","— N/A",IF('L3 Reports'!M56="Counted",IF(AND('L3 Reports'!N56&gt;=1,'L3 Reports'!S56=0),"✓ MET",IF('L3 Reports'!J56="All-or-nothing","✗ NOT MET",IF('L3 Reports'!S56=1,"✗ NOT MET (★)","◐ PARTIAL")))&amp;CHAR(10)&amp;"("&amp;'L3 Reports'!L56&amp;" of "&amp;'L3 Reports'!K56&amp;")","○ NOT TESTED"))))))</f>
        <v/>
      </c>
      <c r="E553" s="241">
        <f>IF('L3 Reports'!N56="","—",'L3 Reports'!N56)</f>
        <v/>
      </c>
      <c r="F553" s="223">
        <f>'L3 Reports'!O56&amp;IF('L3 Reports'!P56&lt;&gt;"",CHAR(10)&amp;"Notes: "&amp;'L3 Reports'!P56,"")</f>
        <v/>
      </c>
    </row>
    <row r="554" ht="64" customHeight="1" s="125">
      <c r="A554" s="242" t="n"/>
      <c r="B554" s="243">
        <f>"Developer's Guide: "&amp;IFERROR(LEFT('L3 Reports'!D56,FIND(CHAR(10)&amp;CHAR(10)&amp;"Purpose:",'L3 Reports'!D56)-1),'L3 Reports'!D56)</f>
        <v/>
      </c>
      <c r="C554" s="243">
        <f>"Validator's Guide: "&amp;'L3 Reports'!E56&amp;CHAR(10)&amp;"Evidence: "&amp;'L3 Reports'!F56</f>
        <v/>
      </c>
      <c r="D554" s="203" t="n"/>
      <c r="E554" s="203" t="n"/>
      <c r="F554" s="204" t="n"/>
    </row>
    <row r="555" ht="56" customHeight="1" s="125">
      <c r="A555" s="238">
        <f>'L3 Reports'!A57</f>
        <v/>
      </c>
      <c r="B555" s="239">
        <f>'L3 Reports'!C57&amp;CHAR(10)&amp;"["&amp;'L3 Reports'!B57&amp;" · "&amp;'L3 Reports'!G57&amp;"]"</f>
        <v/>
      </c>
      <c r="C555" s="240">
        <f>IF('L3 Reports'!I57=0,"Info only",IF('L3 Reports'!H57="Yes","★ CRITICAL"&amp;CHAR(10),IF('L3 Reports'!H57="★ subs","★ critical sub-items"&amp;CHAR(10),""))&amp;'L3 Reports'!J57&amp;" · W"&amp;'L3 Reports'!I57)</f>
        <v/>
      </c>
      <c r="D555" s="226">
        <f>IF('L3 Reports'!I57=0,"— Not scored",IF('L3 Reports'!J57="Tier",IF('L3 Reports'!M57="Fully integrated","✓ FULLY INTEGRATED",IF('L3 Reports'!M57="Not Met","✗ NOT MET",IF('L3 Reports'!M57="Not Tested","○ NOT TESTED","◐ "&amp;UPPER('L3 Reports'!M57)))),IF('L3 Reports'!M57="Met","✓ MET",IF('L3 Reports'!M57="Not Met","✗ NOT MET",IF('L3 Reports'!M57="N/A","— N/A",IF('L3 Reports'!M57="Counted",IF(AND('L3 Reports'!N57&gt;=1,'L3 Reports'!S57=0),"✓ MET",IF('L3 Reports'!J57="All-or-nothing","✗ NOT MET",IF('L3 Reports'!S57=1,"✗ NOT MET (★)","◐ PARTIAL")))&amp;CHAR(10)&amp;"("&amp;'L3 Reports'!L57&amp;" of "&amp;'L3 Reports'!K57&amp;")","○ NOT TESTED"))))))</f>
        <v/>
      </c>
      <c r="E555" s="241">
        <f>IF('L3 Reports'!N57="","—",'L3 Reports'!N57)</f>
        <v/>
      </c>
      <c r="F555" s="223">
        <f>'L3 Reports'!O57&amp;IF('L3 Reports'!P57&lt;&gt;"",CHAR(10)&amp;"Notes: "&amp;'L3 Reports'!P57,"")</f>
        <v/>
      </c>
    </row>
    <row r="556" ht="52" customHeight="1" s="125">
      <c r="A556" s="242" t="n"/>
      <c r="B556" s="243">
        <f>"Developer's Guide: "&amp;IFERROR(LEFT('L3 Reports'!D57,FIND(CHAR(10)&amp;CHAR(10)&amp;"Purpose:",'L3 Reports'!D57)-1),'L3 Reports'!D57)</f>
        <v/>
      </c>
      <c r="C556" s="243">
        <f>"Validator's Guide: "&amp;'L3 Reports'!E57&amp;CHAR(10)&amp;"Evidence: "&amp;'L3 Reports'!F57</f>
        <v/>
      </c>
      <c r="D556" s="203" t="n"/>
      <c r="E556" s="203" t="n"/>
      <c r="F556" s="204" t="n"/>
    </row>
    <row r="557" ht="16" customHeight="1" s="125">
      <c r="A557" s="244">
        <f>'L3 Reports'!A58</f>
        <v/>
      </c>
      <c r="B557" s="245">
        <f>"   ↳  "&amp;IF('L3 Reports'!H58="Yes","★ ","")&amp;'L3 Reports'!C58</f>
        <v/>
      </c>
      <c r="C557" s="204" t="n"/>
      <c r="D557" s="240">
        <f>IF('L3 Reports'!M58="Met","✓ Met",IF('L3 Reports'!M58="Not Met","✗ Not met",IF('L3 Reports'!M58="N/A","— N/A","○ Not tested")))</f>
        <v/>
      </c>
      <c r="E557" s="245" t="n"/>
      <c r="F557" s="245">
        <f>IF('L3 Reports'!P58&lt;&gt;"",'L3 Reports'!P58,"")</f>
        <v/>
      </c>
    </row>
    <row r="558" ht="16" customHeight="1" s="125">
      <c r="A558" s="244">
        <f>'L3 Reports'!A59</f>
        <v/>
      </c>
      <c r="B558" s="245">
        <f>"   ↳  "&amp;IF('L3 Reports'!H59="Yes","★ ","")&amp;'L3 Reports'!C59</f>
        <v/>
      </c>
      <c r="C558" s="204" t="n"/>
      <c r="D558" s="240">
        <f>IF('L3 Reports'!M59="Met","✓ Met",IF('L3 Reports'!M59="Not Met","✗ Not met",IF('L3 Reports'!M59="N/A","— N/A","○ Not tested")))</f>
        <v/>
      </c>
      <c r="E558" s="245" t="n"/>
      <c r="F558" s="245">
        <f>IF('L3 Reports'!P59&lt;&gt;"",'L3 Reports'!P59,"")</f>
        <v/>
      </c>
    </row>
    <row r="559" ht="16" customHeight="1" s="125">
      <c r="A559" s="244">
        <f>'L3 Reports'!A60</f>
        <v/>
      </c>
      <c r="B559" s="245">
        <f>"   ↳  "&amp;IF('L3 Reports'!H60="Yes","★ ","")&amp;'L3 Reports'!C60</f>
        <v/>
      </c>
      <c r="C559" s="204" t="n"/>
      <c r="D559" s="240">
        <f>IF('L3 Reports'!M60="Met","✓ Met",IF('L3 Reports'!M60="Not Met","✗ Not met",IF('L3 Reports'!M60="N/A","— N/A","○ Not tested")))</f>
        <v/>
      </c>
      <c r="E559" s="245" t="n"/>
      <c r="F559" s="245">
        <f>IF('L3 Reports'!P60&lt;&gt;"",'L3 Reports'!P60,"")</f>
        <v/>
      </c>
    </row>
    <row r="560" ht="16" customHeight="1" s="125">
      <c r="A560" s="244">
        <f>'L3 Reports'!A61</f>
        <v/>
      </c>
      <c r="B560" s="245">
        <f>"   ↳  "&amp;IF('L3 Reports'!H61="Yes","★ ","")&amp;'L3 Reports'!C61</f>
        <v/>
      </c>
      <c r="C560" s="204" t="n"/>
      <c r="D560" s="240">
        <f>IF('L3 Reports'!M61="Met","✓ Met",IF('L3 Reports'!M61="Not Met","✗ Not met",IF('L3 Reports'!M61="N/A","— N/A","○ Not tested")))</f>
        <v/>
      </c>
      <c r="E560" s="245" t="n"/>
      <c r="F560" s="245">
        <f>IF('L3 Reports'!P61&lt;&gt;"",'L3 Reports'!P61,"")</f>
        <v/>
      </c>
    </row>
    <row r="561" ht="43" customHeight="1" s="125">
      <c r="A561" s="238">
        <f>'L3 Reports'!A62</f>
        <v/>
      </c>
      <c r="B561" s="239">
        <f>'L3 Reports'!C62&amp;CHAR(10)&amp;"["&amp;'L3 Reports'!B62&amp;" · "&amp;'L3 Reports'!G62&amp;"]"</f>
        <v/>
      </c>
      <c r="C561" s="240">
        <f>IF('L3 Reports'!I62=0,"Info only",IF('L3 Reports'!H62="Yes","★ CRITICAL"&amp;CHAR(10),IF('L3 Reports'!H62="★ subs","★ critical sub-items"&amp;CHAR(10),""))&amp;'L3 Reports'!J62&amp;" · W"&amp;'L3 Reports'!I62)</f>
        <v/>
      </c>
      <c r="D561" s="226">
        <f>IF('L3 Reports'!I62=0,"— Not scored",IF('L3 Reports'!J62="Tier",IF('L3 Reports'!M62="Fully integrated","✓ FULLY INTEGRATED",IF('L3 Reports'!M62="Not Met","✗ NOT MET",IF('L3 Reports'!M62="Not Tested","○ NOT TESTED","◐ "&amp;UPPER('L3 Reports'!M62)))),IF('L3 Reports'!M62="Met","✓ MET",IF('L3 Reports'!M62="Not Met","✗ NOT MET",IF('L3 Reports'!M62="N/A","— N/A",IF('L3 Reports'!M62="Counted",IF(AND('L3 Reports'!N62&gt;=1,'L3 Reports'!S62=0),"✓ MET",IF('L3 Reports'!J62="All-or-nothing","✗ NOT MET",IF('L3 Reports'!S62=1,"✗ NOT MET (★)","◐ PARTIAL")))&amp;CHAR(10)&amp;"("&amp;'L3 Reports'!L62&amp;" of "&amp;'L3 Reports'!K62&amp;")","○ NOT TESTED"))))))</f>
        <v/>
      </c>
      <c r="E561" s="241">
        <f>IF('L3 Reports'!N62="","—",'L3 Reports'!N62)</f>
        <v/>
      </c>
      <c r="F561" s="223">
        <f>'L3 Reports'!O62&amp;IF('L3 Reports'!P62&lt;&gt;"",CHAR(10)&amp;"Notes: "&amp;'L3 Reports'!P62,"")</f>
        <v/>
      </c>
    </row>
    <row r="562" ht="88" customHeight="1" s="125">
      <c r="A562" s="242" t="n"/>
      <c r="B562" s="243">
        <f>"Developer's Guide: "&amp;IFERROR(LEFT('L3 Reports'!D62,FIND(CHAR(10)&amp;CHAR(10)&amp;"Purpose:",'L3 Reports'!D62)-1),'L3 Reports'!D62)</f>
        <v/>
      </c>
      <c r="C562" s="243">
        <f>"Validator's Guide: "&amp;'L3 Reports'!E62&amp;CHAR(10)&amp;"Evidence: "&amp;'L3 Reports'!F62</f>
        <v/>
      </c>
      <c r="D562" s="203" t="n"/>
      <c r="E562" s="203" t="n"/>
      <c r="F562" s="204" t="n"/>
    </row>
    <row r="563" ht="29" customHeight="1" s="125">
      <c r="A563" s="244">
        <f>'L3 Reports'!A63</f>
        <v/>
      </c>
      <c r="B563" s="245">
        <f>"   ↳  "&amp;IF('L3 Reports'!H63="Yes","★ ","")&amp;'L3 Reports'!C63</f>
        <v/>
      </c>
      <c r="C563" s="204" t="n"/>
      <c r="D563" s="240">
        <f>IF('L3 Reports'!M63="Met","✓ Met",IF('L3 Reports'!M63="Not Met","✗ Not met",IF('L3 Reports'!M63="N/A","— N/A","○ Not tested")))</f>
        <v/>
      </c>
      <c r="E563" s="245" t="n"/>
      <c r="F563" s="245">
        <f>IF('L3 Reports'!P63&lt;&gt;"",'L3 Reports'!P63,"")</f>
        <v/>
      </c>
    </row>
    <row r="564" ht="16" customHeight="1" s="125">
      <c r="A564" s="244">
        <f>'L3 Reports'!A64</f>
        <v/>
      </c>
      <c r="B564" s="245">
        <f>"   ↳  "&amp;IF('L3 Reports'!H64="Yes","★ ","")&amp;'L3 Reports'!C64</f>
        <v/>
      </c>
      <c r="C564" s="204" t="n"/>
      <c r="D564" s="240">
        <f>IF('L3 Reports'!M64="Met","✓ Met",IF('L3 Reports'!M64="Not Met","✗ Not met",IF('L3 Reports'!M64="N/A","— N/A","○ Not tested")))</f>
        <v/>
      </c>
      <c r="E564" s="245" t="n"/>
      <c r="F564" s="245">
        <f>IF('L3 Reports'!P64&lt;&gt;"",'L3 Reports'!P64,"")</f>
        <v/>
      </c>
    </row>
    <row r="565" ht="29" customHeight="1" s="125">
      <c r="A565" s="244">
        <f>'L3 Reports'!A65</f>
        <v/>
      </c>
      <c r="B565" s="245">
        <f>"   ↳  "&amp;IF('L3 Reports'!H65="Yes","★ ","")&amp;'L3 Reports'!C65</f>
        <v/>
      </c>
      <c r="C565" s="204" t="n"/>
      <c r="D565" s="240">
        <f>IF('L3 Reports'!M65="Met","✓ Met",IF('L3 Reports'!M65="Not Met","✗ Not met",IF('L3 Reports'!M65="N/A","— N/A","○ Not tested")))</f>
        <v/>
      </c>
      <c r="E565" s="245" t="n"/>
      <c r="F565" s="245">
        <f>IF('L3 Reports'!P65&lt;&gt;"",'L3 Reports'!P65,"")</f>
        <v/>
      </c>
    </row>
    <row r="566" ht="29" customHeight="1" s="125">
      <c r="A566" s="244">
        <f>'L3 Reports'!A66</f>
        <v/>
      </c>
      <c r="B566" s="245">
        <f>"   ↳  "&amp;IF('L3 Reports'!H66="Yes","★ ","")&amp;'L3 Reports'!C66</f>
        <v/>
      </c>
      <c r="C566" s="204" t="n"/>
      <c r="D566" s="240">
        <f>IF('L3 Reports'!M66="Met","✓ Met",IF('L3 Reports'!M66="Not Met","✗ Not met",IF('L3 Reports'!M66="N/A","— N/A","○ Not tested")))</f>
        <v/>
      </c>
      <c r="E566" s="245" t="n"/>
      <c r="F566" s="245">
        <f>IF('L3 Reports'!P66&lt;&gt;"",'L3 Reports'!P66,"")</f>
        <v/>
      </c>
    </row>
    <row r="567" ht="56" customHeight="1" s="125">
      <c r="A567" s="238">
        <f>'L3 Reports'!A67</f>
        <v/>
      </c>
      <c r="B567" s="239">
        <f>'L3 Reports'!C67&amp;CHAR(10)&amp;"["&amp;'L3 Reports'!B67&amp;" · "&amp;'L3 Reports'!G67&amp;"]"</f>
        <v/>
      </c>
      <c r="C567" s="240">
        <f>IF('L3 Reports'!I67=0,"Info only",IF('L3 Reports'!H67="Yes","★ CRITICAL"&amp;CHAR(10),IF('L3 Reports'!H67="★ subs","★ critical sub-items"&amp;CHAR(10),""))&amp;'L3 Reports'!J67&amp;" · W"&amp;'L3 Reports'!I67)</f>
        <v/>
      </c>
      <c r="D567" s="226">
        <f>IF('L3 Reports'!I67=0,"— Not scored",IF('L3 Reports'!J67="Tier",IF('L3 Reports'!M67="Fully integrated","✓ FULLY INTEGRATED",IF('L3 Reports'!M67="Not Met","✗ NOT MET",IF('L3 Reports'!M67="Not Tested","○ NOT TESTED","◐ "&amp;UPPER('L3 Reports'!M67)))),IF('L3 Reports'!M67="Met","✓ MET",IF('L3 Reports'!M67="Not Met","✗ NOT MET",IF('L3 Reports'!M67="N/A","— N/A",IF('L3 Reports'!M67="Counted",IF(AND('L3 Reports'!N67&gt;=1,'L3 Reports'!S67=0),"✓ MET",IF('L3 Reports'!J67="All-or-nothing","✗ NOT MET",IF('L3 Reports'!S67=1,"✗ NOT MET (★)","◐ PARTIAL")))&amp;CHAR(10)&amp;"("&amp;'L3 Reports'!L67&amp;" of "&amp;'L3 Reports'!K67&amp;")","○ NOT TESTED"))))))</f>
        <v/>
      </c>
      <c r="E567" s="241">
        <f>IF('L3 Reports'!N67="","—",'L3 Reports'!N67)</f>
        <v/>
      </c>
      <c r="F567" s="223">
        <f>'L3 Reports'!O67&amp;IF('L3 Reports'!P67&lt;&gt;"",CHAR(10)&amp;"Notes: "&amp;'L3 Reports'!P67,"")</f>
        <v/>
      </c>
    </row>
    <row r="568" ht="100" customHeight="1" s="125">
      <c r="A568" s="242" t="n"/>
      <c r="B568" s="243">
        <f>"Developer's Guide: "&amp;IFERROR(LEFT('L3 Reports'!D67,FIND(CHAR(10)&amp;CHAR(10)&amp;"Purpose:",'L3 Reports'!D67)-1),'L3 Reports'!D67)</f>
        <v/>
      </c>
      <c r="C568" s="243">
        <f>"Validator's Guide: "&amp;'L3 Reports'!E67&amp;CHAR(10)&amp;"Evidence: "&amp;'L3 Reports'!F67</f>
        <v/>
      </c>
      <c r="D568" s="203" t="n"/>
      <c r="E568" s="203" t="n"/>
      <c r="F568" s="204" t="n"/>
    </row>
    <row r="569" ht="29" customHeight="1" s="125">
      <c r="A569" s="244">
        <f>'L3 Reports'!A68</f>
        <v/>
      </c>
      <c r="B569" s="245">
        <f>"   ↳  "&amp;IF('L3 Reports'!H68="Yes","★ ","")&amp;'L3 Reports'!C68</f>
        <v/>
      </c>
      <c r="C569" s="204" t="n"/>
      <c r="D569" s="240">
        <f>IF('L3 Reports'!M68="Met","✓ Met",IF('L3 Reports'!M68="Not Met","✗ Not met",IF('L3 Reports'!M68="N/A","— N/A","○ Not tested")))</f>
        <v/>
      </c>
      <c r="E569" s="245" t="n"/>
      <c r="F569" s="245">
        <f>IF('L3 Reports'!P68&lt;&gt;"",'L3 Reports'!P68,"")</f>
        <v/>
      </c>
    </row>
    <row r="570" ht="16" customHeight="1" s="125">
      <c r="A570" s="244">
        <f>'L3 Reports'!A69</f>
        <v/>
      </c>
      <c r="B570" s="245">
        <f>"   ↳  "&amp;IF('L3 Reports'!H69="Yes","★ ","")&amp;'L3 Reports'!C69</f>
        <v/>
      </c>
      <c r="C570" s="204" t="n"/>
      <c r="D570" s="240">
        <f>IF('L3 Reports'!M69="Met","✓ Met",IF('L3 Reports'!M69="Not Met","✗ Not met",IF('L3 Reports'!M69="N/A","— N/A","○ Not tested")))</f>
        <v/>
      </c>
      <c r="E570" s="245" t="n"/>
      <c r="F570" s="245">
        <f>IF('L3 Reports'!P69&lt;&gt;"",'L3 Reports'!P69,"")</f>
        <v/>
      </c>
    </row>
    <row r="571" ht="29" customHeight="1" s="125">
      <c r="A571" s="244">
        <f>'L3 Reports'!A70</f>
        <v/>
      </c>
      <c r="B571" s="245">
        <f>"   ↳  "&amp;IF('L3 Reports'!H70="Yes","★ ","")&amp;'L3 Reports'!C70</f>
        <v/>
      </c>
      <c r="C571" s="204" t="n"/>
      <c r="D571" s="240">
        <f>IF('L3 Reports'!M70="Met","✓ Met",IF('L3 Reports'!M70="Not Met","✗ Not met",IF('L3 Reports'!M70="N/A","— N/A","○ Not tested")))</f>
        <v/>
      </c>
      <c r="E571" s="245" t="n"/>
      <c r="F571" s="245">
        <f>IF('L3 Reports'!P70&lt;&gt;"",'L3 Reports'!P70,"")</f>
        <v/>
      </c>
    </row>
    <row r="572" ht="56" customHeight="1" s="125">
      <c r="A572" s="238">
        <f>'L3 Reports'!A71</f>
        <v/>
      </c>
      <c r="B572" s="239">
        <f>'L3 Reports'!C71&amp;CHAR(10)&amp;"["&amp;'L3 Reports'!B71&amp;" · "&amp;'L3 Reports'!G71&amp;"]"</f>
        <v/>
      </c>
      <c r="C572" s="240">
        <f>IF('L3 Reports'!I71=0,"Info only",IF('L3 Reports'!H71="Yes","★ CRITICAL"&amp;CHAR(10),IF('L3 Reports'!H71="★ subs","★ critical sub-items"&amp;CHAR(10),""))&amp;'L3 Reports'!J71&amp;" · W"&amp;'L3 Reports'!I71)</f>
        <v/>
      </c>
      <c r="D572" s="226">
        <f>IF('L3 Reports'!I71=0,"— Not scored",IF('L3 Reports'!J71="Tier",IF('L3 Reports'!M71="Fully integrated","✓ FULLY INTEGRATED",IF('L3 Reports'!M71="Not Met","✗ NOT MET",IF('L3 Reports'!M71="Not Tested","○ NOT TESTED","◐ "&amp;UPPER('L3 Reports'!M71)))),IF('L3 Reports'!M71="Met","✓ MET",IF('L3 Reports'!M71="Not Met","✗ NOT MET",IF('L3 Reports'!M71="N/A","— N/A",IF('L3 Reports'!M71="Counted",IF(AND('L3 Reports'!N71&gt;=1,'L3 Reports'!S71=0),"✓ MET",IF('L3 Reports'!J71="All-or-nothing","✗ NOT MET",IF('L3 Reports'!S71=1,"✗ NOT MET (★)","◐ PARTIAL")))&amp;CHAR(10)&amp;"("&amp;'L3 Reports'!L71&amp;" of "&amp;'L3 Reports'!K71&amp;")","○ NOT TESTED"))))))</f>
        <v/>
      </c>
      <c r="E572" s="241">
        <f>IF('L3 Reports'!N71="","—",'L3 Reports'!N71)</f>
        <v/>
      </c>
      <c r="F572" s="223">
        <f>'L3 Reports'!O71&amp;IF('L3 Reports'!P71&lt;&gt;"",CHAR(10)&amp;"Notes: "&amp;'L3 Reports'!P71,"")</f>
        <v/>
      </c>
    </row>
    <row r="573" ht="88" customHeight="1" s="125">
      <c r="A573" s="242" t="n"/>
      <c r="B573" s="243">
        <f>"Developer's Guide: "&amp;IFERROR(LEFT('L3 Reports'!D71,FIND(CHAR(10)&amp;CHAR(10)&amp;"Purpose:",'L3 Reports'!D71)-1),'L3 Reports'!D71)</f>
        <v/>
      </c>
      <c r="C573" s="243">
        <f>"Validator's Guide: "&amp;'L3 Reports'!E71&amp;CHAR(10)&amp;"Evidence: "&amp;'L3 Reports'!F71</f>
        <v/>
      </c>
      <c r="D573" s="203" t="n"/>
      <c r="E573" s="203" t="n"/>
      <c r="F573" s="204" t="n"/>
    </row>
    <row r="574" ht="16" customHeight="1" s="125">
      <c r="A574" s="244">
        <f>'L3 Reports'!A72</f>
        <v/>
      </c>
      <c r="B574" s="245">
        <f>"   ↳  "&amp;IF('L3 Reports'!H72="Yes","★ ","")&amp;'L3 Reports'!C72</f>
        <v/>
      </c>
      <c r="C574" s="204" t="n"/>
      <c r="D574" s="240">
        <f>IF('L3 Reports'!M72="Met","✓ Met",IF('L3 Reports'!M72="Not Met","✗ Not met",IF('L3 Reports'!M72="N/A","— N/A","○ Not tested")))</f>
        <v/>
      </c>
      <c r="E574" s="245" t="n"/>
      <c r="F574" s="245">
        <f>IF('L3 Reports'!P72&lt;&gt;"",'L3 Reports'!P72,"")</f>
        <v/>
      </c>
    </row>
    <row r="575" ht="42" customHeight="1" s="125">
      <c r="A575" s="244">
        <f>'L3 Reports'!A73</f>
        <v/>
      </c>
      <c r="B575" s="245">
        <f>"   ↳  "&amp;IF('L3 Reports'!H73="Yes","★ ","")&amp;'L3 Reports'!C73</f>
        <v/>
      </c>
      <c r="C575" s="204" t="n"/>
      <c r="D575" s="240">
        <f>IF('L3 Reports'!M73="Met","✓ Met",IF('L3 Reports'!M73="Not Met","✗ Not met",IF('L3 Reports'!M73="N/A","— N/A","○ Not tested")))</f>
        <v/>
      </c>
      <c r="E575" s="245" t="n"/>
      <c r="F575" s="245">
        <f>IF('L3 Reports'!P73&lt;&gt;"",'L3 Reports'!P73,"")</f>
        <v/>
      </c>
    </row>
    <row r="576" ht="56" customHeight="1" s="125">
      <c r="A576" s="238">
        <f>'L3 Reports'!A74</f>
        <v/>
      </c>
      <c r="B576" s="239">
        <f>'L3 Reports'!C74&amp;CHAR(10)&amp;"["&amp;'L3 Reports'!B74&amp;" · "&amp;'L3 Reports'!G74&amp;"]"</f>
        <v/>
      </c>
      <c r="C576" s="240">
        <f>IF('L3 Reports'!I74=0,"Info only",IF('L3 Reports'!H74="Yes","★ CRITICAL"&amp;CHAR(10),IF('L3 Reports'!H74="★ subs","★ critical sub-items"&amp;CHAR(10),""))&amp;'L3 Reports'!J74&amp;" · W"&amp;'L3 Reports'!I74)</f>
        <v/>
      </c>
      <c r="D576" s="226">
        <f>IF('L3 Reports'!I74=0,"— Not scored",IF('L3 Reports'!J74="Tier",IF('L3 Reports'!M74="Fully integrated","✓ FULLY INTEGRATED",IF('L3 Reports'!M74="Not Met","✗ NOT MET",IF('L3 Reports'!M74="Not Tested","○ NOT TESTED","◐ "&amp;UPPER('L3 Reports'!M74)))),IF('L3 Reports'!M74="Met","✓ MET",IF('L3 Reports'!M74="Not Met","✗ NOT MET",IF('L3 Reports'!M74="N/A","— N/A",IF('L3 Reports'!M74="Counted",IF(AND('L3 Reports'!N74&gt;=1,'L3 Reports'!S74=0),"✓ MET",IF('L3 Reports'!J74="All-or-nothing","✗ NOT MET",IF('L3 Reports'!S74=1,"✗ NOT MET (★)","◐ PARTIAL")))&amp;CHAR(10)&amp;"("&amp;'L3 Reports'!L74&amp;" of "&amp;'L3 Reports'!K74&amp;")","○ NOT TESTED"))))))</f>
        <v/>
      </c>
      <c r="E576" s="241">
        <f>IF('L3 Reports'!N74="","—",'L3 Reports'!N74)</f>
        <v/>
      </c>
      <c r="F576" s="223">
        <f>'L3 Reports'!O74&amp;IF('L3 Reports'!P74&lt;&gt;"",CHAR(10)&amp;"Notes: "&amp;'L3 Reports'!P74,"")</f>
        <v/>
      </c>
    </row>
    <row r="577" ht="88" customHeight="1" s="125">
      <c r="A577" s="242" t="n"/>
      <c r="B577" s="243">
        <f>"Developer's Guide: "&amp;IFERROR(LEFT('L3 Reports'!D74,FIND(CHAR(10)&amp;CHAR(10)&amp;"Purpose:",'L3 Reports'!D74)-1),'L3 Reports'!D74)</f>
        <v/>
      </c>
      <c r="C577" s="243">
        <f>"Validator's Guide: "&amp;'L3 Reports'!E74&amp;CHAR(10)&amp;"Evidence: "&amp;'L3 Reports'!F74</f>
        <v/>
      </c>
      <c r="D577" s="203" t="n"/>
      <c r="E577" s="203" t="n"/>
      <c r="F577" s="204" t="n"/>
    </row>
    <row r="578" ht="29" customHeight="1" s="125">
      <c r="A578" s="244">
        <f>'L3 Reports'!A75</f>
        <v/>
      </c>
      <c r="B578" s="245">
        <f>"   ↳  "&amp;IF('L3 Reports'!H75="Yes","★ ","")&amp;'L3 Reports'!C75</f>
        <v/>
      </c>
      <c r="C578" s="204" t="n"/>
      <c r="D578" s="240">
        <f>IF('L3 Reports'!M75="Met","✓ Met",IF('L3 Reports'!M75="Not Met","✗ Not met",IF('L3 Reports'!M75="N/A","— N/A","○ Not tested")))</f>
        <v/>
      </c>
      <c r="E578" s="245" t="n"/>
      <c r="F578" s="245">
        <f>IF('L3 Reports'!P75&lt;&gt;"",'L3 Reports'!P75,"")</f>
        <v/>
      </c>
    </row>
    <row r="579" ht="29" customHeight="1" s="125">
      <c r="A579" s="244">
        <f>'L3 Reports'!A76</f>
        <v/>
      </c>
      <c r="B579" s="245">
        <f>"   ↳  "&amp;IF('L3 Reports'!H76="Yes","★ ","")&amp;'L3 Reports'!C76</f>
        <v/>
      </c>
      <c r="C579" s="204" t="n"/>
      <c r="D579" s="240">
        <f>IF('L3 Reports'!M76="Met","✓ Met",IF('L3 Reports'!M76="Not Met","✗ Not met",IF('L3 Reports'!M76="N/A","— N/A","○ Not tested")))</f>
        <v/>
      </c>
      <c r="E579" s="245" t="n"/>
      <c r="F579" s="245">
        <f>IF('L3 Reports'!P76&lt;&gt;"",'L3 Reports'!P76,"")</f>
        <v/>
      </c>
    </row>
    <row r="580" ht="16" customHeight="1" s="125">
      <c r="A580" s="244">
        <f>'L3 Reports'!A77</f>
        <v/>
      </c>
      <c r="B580" s="245">
        <f>"   ↳  "&amp;IF('L3 Reports'!H77="Yes","★ ","")&amp;'L3 Reports'!C77</f>
        <v/>
      </c>
      <c r="C580" s="204" t="n"/>
      <c r="D580" s="240">
        <f>IF('L3 Reports'!M77="Met","✓ Met",IF('L3 Reports'!M77="Not Met","✗ Not met",IF('L3 Reports'!M77="N/A","— N/A","○ Not tested")))</f>
        <v/>
      </c>
      <c r="E580" s="245" t="n"/>
      <c r="F580" s="245">
        <f>IF('L3 Reports'!P77&lt;&gt;"",'L3 Reports'!P77,"")</f>
        <v/>
      </c>
    </row>
    <row r="581" ht="30" customHeight="1" s="125">
      <c r="A581" s="238">
        <f>'L3 Reports'!A78</f>
        <v/>
      </c>
      <c r="B581" s="239">
        <f>'L3 Reports'!C78&amp;CHAR(10)&amp;"["&amp;'L3 Reports'!B78&amp;" · "&amp;'L3 Reports'!G78&amp;"]"</f>
        <v/>
      </c>
      <c r="C581" s="240">
        <f>IF('L3 Reports'!I78=0,"Info only",IF('L3 Reports'!H78="Yes","★ CRITICAL"&amp;CHAR(10),IF('L3 Reports'!H78="★ subs","★ critical sub-items"&amp;CHAR(10),""))&amp;'L3 Reports'!J78&amp;" · W"&amp;'L3 Reports'!I78)</f>
        <v/>
      </c>
      <c r="D581" s="226">
        <f>IF('L3 Reports'!I78=0,"— Not scored",IF('L3 Reports'!J78="Tier",IF('L3 Reports'!M78="Fully integrated","✓ FULLY INTEGRATED",IF('L3 Reports'!M78="Not Met","✗ NOT MET",IF('L3 Reports'!M78="Not Tested","○ NOT TESTED","◐ "&amp;UPPER('L3 Reports'!M78)))),IF('L3 Reports'!M78="Met","✓ MET",IF('L3 Reports'!M78="Not Met","✗ NOT MET",IF('L3 Reports'!M78="N/A","— N/A",IF('L3 Reports'!M78="Counted",IF(AND('L3 Reports'!N78&gt;=1,'L3 Reports'!S78=0),"✓ MET",IF('L3 Reports'!J78="All-or-nothing","✗ NOT MET",IF('L3 Reports'!S78=1,"✗ NOT MET (★)","◐ PARTIAL")))&amp;CHAR(10)&amp;"("&amp;'L3 Reports'!L78&amp;" of "&amp;'L3 Reports'!K78&amp;")","○ NOT TESTED"))))))</f>
        <v/>
      </c>
      <c r="E581" s="241">
        <f>IF('L3 Reports'!N78="","—",'L3 Reports'!N78)</f>
        <v/>
      </c>
      <c r="F581" s="223">
        <f>'L3 Reports'!O78&amp;IF('L3 Reports'!P78&lt;&gt;"",CHAR(10)&amp;"Notes: "&amp;'L3 Reports'!P78,"")</f>
        <v/>
      </c>
    </row>
    <row r="582" ht="76" customHeight="1" s="125">
      <c r="A582" s="242" t="n"/>
      <c r="B582" s="243">
        <f>"Developer's Guide: "&amp;IFERROR(LEFT('L3 Reports'!D78,FIND(CHAR(10)&amp;CHAR(10)&amp;"Purpose:",'L3 Reports'!D78)-1),'L3 Reports'!D78)</f>
        <v/>
      </c>
      <c r="C582" s="243">
        <f>"Validator's Guide: "&amp;'L3 Reports'!E78&amp;CHAR(10)&amp;"Evidence: "&amp;'L3 Reports'!F78</f>
        <v/>
      </c>
      <c r="D582" s="203" t="n"/>
      <c r="E582" s="203" t="n"/>
      <c r="F582" s="204" t="n"/>
    </row>
    <row r="583" ht="16" customHeight="1" s="125">
      <c r="A583" s="244">
        <f>'L3 Reports'!A79</f>
        <v/>
      </c>
      <c r="B583" s="245">
        <f>"   ↳  "&amp;IF('L3 Reports'!H79="Yes","★ ","")&amp;'L3 Reports'!C79</f>
        <v/>
      </c>
      <c r="C583" s="204" t="n"/>
      <c r="D583" s="240">
        <f>IF('L3 Reports'!M79="Met","✓ Met",IF('L3 Reports'!M79="Not Met","✗ Not met",IF('L3 Reports'!M79="N/A","— N/A","○ Not tested")))</f>
        <v/>
      </c>
      <c r="E583" s="245" t="n"/>
      <c r="F583" s="245">
        <f>IF('L3 Reports'!P79&lt;&gt;"",'L3 Reports'!P79,"")</f>
        <v/>
      </c>
    </row>
    <row r="584" ht="29" customHeight="1" s="125">
      <c r="A584" s="244">
        <f>'L3 Reports'!A80</f>
        <v/>
      </c>
      <c r="B584" s="245">
        <f>"   ↳  "&amp;IF('L3 Reports'!H80="Yes","★ ","")&amp;'L3 Reports'!C80</f>
        <v/>
      </c>
      <c r="C584" s="204" t="n"/>
      <c r="D584" s="240">
        <f>IF('L3 Reports'!M80="Met","✓ Met",IF('L3 Reports'!M80="Not Met","✗ Not met",IF('L3 Reports'!M80="N/A","— N/A","○ Not tested")))</f>
        <v/>
      </c>
      <c r="E584" s="245" t="n"/>
      <c r="F584" s="245">
        <f>IF('L3 Reports'!P80&lt;&gt;"",'L3 Reports'!P80,"")</f>
        <v/>
      </c>
    </row>
    <row r="585" ht="16" customHeight="1" s="125">
      <c r="A585" s="244">
        <f>'L3 Reports'!A81</f>
        <v/>
      </c>
      <c r="B585" s="245">
        <f>"   ↳  "&amp;IF('L3 Reports'!H81="Yes","★ ","")&amp;'L3 Reports'!C81</f>
        <v/>
      </c>
      <c r="C585" s="204" t="n"/>
      <c r="D585" s="240">
        <f>IF('L3 Reports'!M81="Met","✓ Met",IF('L3 Reports'!M81="Not Met","✗ Not met",IF('L3 Reports'!M81="N/A","— N/A","○ Not tested")))</f>
        <v/>
      </c>
      <c r="E585" s="245" t="n"/>
      <c r="F585" s="245">
        <f>IF('L3 Reports'!P81&lt;&gt;"",'L3 Reports'!P81,"")</f>
        <v/>
      </c>
    </row>
    <row r="586" ht="43" customHeight="1" s="125">
      <c r="A586" s="238">
        <f>'L3 Reports'!A82</f>
        <v/>
      </c>
      <c r="B586" s="239">
        <f>'L3 Reports'!C82&amp;CHAR(10)&amp;"["&amp;'L3 Reports'!B82&amp;" · "&amp;'L3 Reports'!G82&amp;"]"</f>
        <v/>
      </c>
      <c r="C586" s="240">
        <f>IF('L3 Reports'!I82=0,"Info only",IF('L3 Reports'!H82="Yes","★ CRITICAL"&amp;CHAR(10),IF('L3 Reports'!H82="★ subs","★ critical sub-items"&amp;CHAR(10),""))&amp;'L3 Reports'!J82&amp;" · W"&amp;'L3 Reports'!I82)</f>
        <v/>
      </c>
      <c r="D586" s="226">
        <f>IF('L3 Reports'!I82=0,"— Not scored",IF('L3 Reports'!J82="Tier",IF('L3 Reports'!M82="Fully integrated","✓ FULLY INTEGRATED",IF('L3 Reports'!M82="Not Met","✗ NOT MET",IF('L3 Reports'!M82="Not Tested","○ NOT TESTED","◐ "&amp;UPPER('L3 Reports'!M82)))),IF('L3 Reports'!M82="Met","✓ MET",IF('L3 Reports'!M82="Not Met","✗ NOT MET",IF('L3 Reports'!M82="N/A","— N/A",IF('L3 Reports'!M82="Counted",IF(AND('L3 Reports'!N82&gt;=1,'L3 Reports'!S82=0),"✓ MET",IF('L3 Reports'!J82="All-or-nothing","✗ NOT MET",IF('L3 Reports'!S82=1,"✗ NOT MET (★)","◐ PARTIAL")))&amp;CHAR(10)&amp;"("&amp;'L3 Reports'!L82&amp;" of "&amp;'L3 Reports'!K82&amp;")","○ NOT TESTED"))))))</f>
        <v/>
      </c>
      <c r="E586" s="241">
        <f>IF('L3 Reports'!N82="","—",'L3 Reports'!N82)</f>
        <v/>
      </c>
      <c r="F586" s="223">
        <f>'L3 Reports'!O82&amp;IF('L3 Reports'!P82&lt;&gt;"",CHAR(10)&amp;"Notes: "&amp;'L3 Reports'!P82,"")</f>
        <v/>
      </c>
    </row>
    <row r="587" ht="64" customHeight="1" s="125">
      <c r="A587" s="242" t="n"/>
      <c r="B587" s="243">
        <f>"Developer's Guide: "&amp;IFERROR(LEFT('L3 Reports'!D82,FIND(CHAR(10)&amp;CHAR(10)&amp;"Purpose:",'L3 Reports'!D82)-1),'L3 Reports'!D82)</f>
        <v/>
      </c>
      <c r="C587" s="243">
        <f>"Validator's Guide: "&amp;'L3 Reports'!E82&amp;CHAR(10)&amp;"Evidence: "&amp;'L3 Reports'!F82</f>
        <v/>
      </c>
      <c r="D587" s="203" t="n"/>
      <c r="E587" s="203" t="n"/>
      <c r="F587" s="204" t="n"/>
    </row>
    <row r="588" ht="15" customHeight="1" s="125">
      <c r="A588" s="236" t="inlineStr">
        <is>
          <t>LEVEL 4 — ADVANCED INTEROPERABILITY (Core-track / Maturity)</t>
        </is>
      </c>
      <c r="B588" s="203" t="n"/>
      <c r="C588" s="203" t="n"/>
      <c r="D588" s="203" t="n"/>
      <c r="E588" s="203" t="n"/>
      <c r="F588" s="204" t="n"/>
    </row>
    <row r="589" ht="13.5" customHeight="1" s="125">
      <c r="A589" s="237">
        <f>"Score: "&amp;TEXT('L4 Advanced'!D4,"0.0%")&amp;"  ·  Threshold: "&amp;TEXT('L4 Advanced'!D5,"0%")&amp;"  ·  Critical not met: "&amp;'L4 Advanced'!D6&amp;"  ·  Not tested: "&amp;'L4 Advanced'!F4&amp;" of "&amp;'L4 Advanced'!F7&amp;"  ·  Status: "&amp;'L4 Advanced'!F6</f>
        <v/>
      </c>
      <c r="B589" s="203" t="n"/>
      <c r="C589" s="203" t="n"/>
      <c r="D589" s="203" t="n"/>
      <c r="E589" s="203" t="n"/>
      <c r="F589" s="204" t="n"/>
    </row>
    <row r="590" ht="43" customHeight="1" s="125">
      <c r="A590" s="238">
        <f>'L4 Advanced'!A10</f>
        <v/>
      </c>
      <c r="B590" s="239">
        <f>'L4 Advanced'!C10&amp;CHAR(10)&amp;"["&amp;'L4 Advanced'!B10&amp;" · "&amp;'L4 Advanced'!G10&amp;"]"</f>
        <v/>
      </c>
      <c r="C590" s="240">
        <f>IF('L4 Advanced'!I10=0,"Info only",IF('L4 Advanced'!H10="Yes","★ CRITICAL"&amp;CHAR(10),IF('L4 Advanced'!H10="★ subs","★ critical sub-items"&amp;CHAR(10),""))&amp;'L4 Advanced'!J10&amp;" · W"&amp;'L4 Advanced'!I10)</f>
        <v/>
      </c>
      <c r="D590" s="226">
        <f>IF('L4 Advanced'!I10=0,"— Not scored",IF('L4 Advanced'!J10="Tier",IF('L4 Advanced'!M10="Fully integrated","✓ FULLY INTEGRATED",IF('L4 Advanced'!M10="Not Met","✗ NOT MET",IF('L4 Advanced'!M10="Not Tested","○ NOT TESTED","◐ "&amp;UPPER('L4 Advanced'!M10)))),IF('L4 Advanced'!M10="Met","✓ MET",IF('L4 Advanced'!M10="Not Met","✗ NOT MET",IF('L4 Advanced'!M10="N/A","— N/A",IF('L4 Advanced'!M10="Counted",IF(AND('L4 Advanced'!N10&gt;=1,'L4 Advanced'!S10=0),"✓ MET",IF('L4 Advanced'!J10="All-or-nothing","✗ NOT MET",IF('L4 Advanced'!S10=1,"✗ NOT MET (★)","◐ PARTIAL")))&amp;CHAR(10)&amp;"("&amp;'L4 Advanced'!L10&amp;" of "&amp;'L4 Advanced'!K10&amp;")","○ NOT TESTED"))))))</f>
        <v/>
      </c>
      <c r="E590" s="241">
        <f>IF('L4 Advanced'!N10="","—",'L4 Advanced'!N10)</f>
        <v/>
      </c>
      <c r="F590" s="223">
        <f>'L4 Advanced'!O10&amp;IF('L4 Advanced'!P10&lt;&gt;"",CHAR(10)&amp;"Notes: "&amp;'L4 Advanced'!P10,"")</f>
        <v/>
      </c>
    </row>
    <row r="591" ht="40" customHeight="1" s="125">
      <c r="A591" s="242" t="n"/>
      <c r="B591" s="243">
        <f>"Developer's Guide: "&amp;IFERROR(LEFT('L4 Advanced'!D10,FIND(CHAR(10)&amp;CHAR(10)&amp;"Purpose:",'L4 Advanced'!D10)-1),'L4 Advanced'!D10)</f>
        <v/>
      </c>
      <c r="C591" s="243">
        <f>"Validator's Guide: "&amp;'L4 Advanced'!E10&amp;CHAR(10)&amp;"Evidence: "&amp;'L4 Advanced'!F10</f>
        <v/>
      </c>
      <c r="D591" s="203" t="n"/>
      <c r="E591" s="203" t="n"/>
      <c r="F591" s="204" t="n"/>
    </row>
    <row r="592" ht="56" customHeight="1" s="125">
      <c r="A592" s="238">
        <f>'L4 Advanced'!A11</f>
        <v/>
      </c>
      <c r="B592" s="239">
        <f>'L4 Advanced'!C11&amp;CHAR(10)&amp;"["&amp;'L4 Advanced'!B11&amp;" · "&amp;'L4 Advanced'!G11&amp;"]"</f>
        <v/>
      </c>
      <c r="C592" s="240">
        <f>IF('L4 Advanced'!I11=0,"Info only",IF('L4 Advanced'!H11="Yes","★ CRITICAL"&amp;CHAR(10),IF('L4 Advanced'!H11="★ subs","★ critical sub-items"&amp;CHAR(10),""))&amp;'L4 Advanced'!J11&amp;" · W"&amp;'L4 Advanced'!I11)</f>
        <v/>
      </c>
      <c r="D592" s="226">
        <f>IF('L4 Advanced'!I11=0,"— Not scored",IF('L4 Advanced'!J11="Tier",IF('L4 Advanced'!M11="Fully integrated","✓ FULLY INTEGRATED",IF('L4 Advanced'!M11="Not Met","✗ NOT MET",IF('L4 Advanced'!M11="Not Tested","○ NOT TESTED","◐ "&amp;UPPER('L4 Advanced'!M11)))),IF('L4 Advanced'!M11="Met","✓ MET",IF('L4 Advanced'!M11="Not Met","✗ NOT MET",IF('L4 Advanced'!M11="N/A","— N/A",IF('L4 Advanced'!M11="Counted",IF(AND('L4 Advanced'!N11&gt;=1,'L4 Advanced'!S11=0),"✓ MET",IF('L4 Advanced'!J11="All-or-nothing","✗ NOT MET",IF('L4 Advanced'!S11=1,"✗ NOT MET (★)","◐ PARTIAL")))&amp;CHAR(10)&amp;"("&amp;'L4 Advanced'!L11&amp;" of "&amp;'L4 Advanced'!K11&amp;")","○ NOT TESTED"))))))</f>
        <v/>
      </c>
      <c r="E592" s="241">
        <f>IF('L4 Advanced'!N11="","—",'L4 Advanced'!N11)</f>
        <v/>
      </c>
      <c r="F592" s="223">
        <f>'L4 Advanced'!O11&amp;IF('L4 Advanced'!P11&lt;&gt;"",CHAR(10)&amp;"Notes: "&amp;'L4 Advanced'!P11,"")</f>
        <v/>
      </c>
    </row>
    <row r="593" ht="64" customHeight="1" s="125">
      <c r="A593" s="242" t="n"/>
      <c r="B593" s="243">
        <f>"Developer's Guide: "&amp;IFERROR(LEFT('L4 Advanced'!D11,FIND(CHAR(10)&amp;CHAR(10)&amp;"Purpose:",'L4 Advanced'!D11)-1),'L4 Advanced'!D11)</f>
        <v/>
      </c>
      <c r="C593" s="243">
        <f>"Validator's Guide: "&amp;'L4 Advanced'!E11&amp;CHAR(10)&amp;"Evidence: "&amp;'L4 Advanced'!F11</f>
        <v/>
      </c>
      <c r="D593" s="203" t="n"/>
      <c r="E593" s="203" t="n"/>
      <c r="F593" s="204" t="n"/>
    </row>
    <row r="594" ht="16" customHeight="1" s="125">
      <c r="A594" s="244">
        <f>'L4 Advanced'!A12</f>
        <v/>
      </c>
      <c r="B594" s="245">
        <f>"   ↳  "&amp;IF('L4 Advanced'!H12="Yes","★ ","")&amp;'L4 Advanced'!C12</f>
        <v/>
      </c>
      <c r="C594" s="204" t="n"/>
      <c r="D594" s="240">
        <f>IF('L4 Advanced'!M12="Met","✓ Met",IF('L4 Advanced'!M12="Not Met","✗ Not met",IF('L4 Advanced'!M12="N/A","— N/A","○ Not tested")))</f>
        <v/>
      </c>
      <c r="E594" s="245" t="n"/>
      <c r="F594" s="245">
        <f>IF('L4 Advanced'!P12&lt;&gt;"",'L4 Advanced'!P12,"")</f>
        <v/>
      </c>
    </row>
    <row r="595" ht="16" customHeight="1" s="125">
      <c r="A595" s="244">
        <f>'L4 Advanced'!A13</f>
        <v/>
      </c>
      <c r="B595" s="245">
        <f>"   ↳  "&amp;IF('L4 Advanced'!H13="Yes","★ ","")&amp;'L4 Advanced'!C13</f>
        <v/>
      </c>
      <c r="C595" s="204" t="n"/>
      <c r="D595" s="240">
        <f>IF('L4 Advanced'!M13="Met","✓ Met",IF('L4 Advanced'!M13="Not Met","✗ Not met",IF('L4 Advanced'!M13="N/A","— N/A","○ Not tested")))</f>
        <v/>
      </c>
      <c r="E595" s="245" t="n"/>
      <c r="F595" s="245">
        <f>IF('L4 Advanced'!P13&lt;&gt;"",'L4 Advanced'!P13,"")</f>
        <v/>
      </c>
    </row>
    <row r="596" ht="16" customHeight="1" s="125">
      <c r="A596" s="244">
        <f>'L4 Advanced'!A14</f>
        <v/>
      </c>
      <c r="B596" s="245">
        <f>"   ↳  "&amp;IF('L4 Advanced'!H14="Yes","★ ","")&amp;'L4 Advanced'!C14</f>
        <v/>
      </c>
      <c r="C596" s="204" t="n"/>
      <c r="D596" s="240">
        <f>IF('L4 Advanced'!M14="Met","✓ Met",IF('L4 Advanced'!M14="Not Met","✗ Not met",IF('L4 Advanced'!M14="N/A","— N/A","○ Not tested")))</f>
        <v/>
      </c>
      <c r="E596" s="245" t="n"/>
      <c r="F596" s="245">
        <f>IF('L4 Advanced'!P14&lt;&gt;"",'L4 Advanced'!P14,"")</f>
        <v/>
      </c>
    </row>
    <row r="597" ht="43" customHeight="1" s="125">
      <c r="A597" s="238">
        <f>'L4 Advanced'!A15</f>
        <v/>
      </c>
      <c r="B597" s="239">
        <f>'L4 Advanced'!C15&amp;CHAR(10)&amp;"["&amp;'L4 Advanced'!B15&amp;" · "&amp;'L4 Advanced'!G15&amp;"]"</f>
        <v/>
      </c>
      <c r="C597" s="240">
        <f>IF('L4 Advanced'!I15=0,"Info only",IF('L4 Advanced'!H15="Yes","★ CRITICAL"&amp;CHAR(10),IF('L4 Advanced'!H15="★ subs","★ critical sub-items"&amp;CHAR(10),""))&amp;'L4 Advanced'!J15&amp;" · W"&amp;'L4 Advanced'!I15)</f>
        <v/>
      </c>
      <c r="D597" s="226">
        <f>IF('L4 Advanced'!I15=0,"— Not scored",IF('L4 Advanced'!J15="Tier",IF('L4 Advanced'!M15="Fully integrated","✓ FULLY INTEGRATED",IF('L4 Advanced'!M15="Not Met","✗ NOT MET",IF('L4 Advanced'!M15="Not Tested","○ NOT TESTED","◐ "&amp;UPPER('L4 Advanced'!M15)))),IF('L4 Advanced'!M15="Met","✓ MET",IF('L4 Advanced'!M15="Not Met","✗ NOT MET",IF('L4 Advanced'!M15="N/A","— N/A",IF('L4 Advanced'!M15="Counted",IF(AND('L4 Advanced'!N15&gt;=1,'L4 Advanced'!S15=0),"✓ MET",IF('L4 Advanced'!J15="All-or-nothing","✗ NOT MET",IF('L4 Advanced'!S15=1,"✗ NOT MET (★)","◐ PARTIAL")))&amp;CHAR(10)&amp;"("&amp;'L4 Advanced'!L15&amp;" of "&amp;'L4 Advanced'!K15&amp;")","○ NOT TESTED"))))))</f>
        <v/>
      </c>
      <c r="E597" s="241">
        <f>IF('L4 Advanced'!N15="","—",'L4 Advanced'!N15)</f>
        <v/>
      </c>
      <c r="F597" s="223">
        <f>'L4 Advanced'!O15&amp;IF('L4 Advanced'!P15&lt;&gt;"",CHAR(10)&amp;"Notes: "&amp;'L4 Advanced'!P15,"")</f>
        <v/>
      </c>
    </row>
    <row r="598" ht="76" customHeight="1" s="125">
      <c r="A598" s="242" t="n"/>
      <c r="B598" s="243">
        <f>"Developer's Guide: "&amp;IFERROR(LEFT('L4 Advanced'!D15,FIND(CHAR(10)&amp;CHAR(10)&amp;"Purpose:",'L4 Advanced'!D15)-1),'L4 Advanced'!D15)</f>
        <v/>
      </c>
      <c r="C598" s="243">
        <f>"Validator's Guide: "&amp;'L4 Advanced'!E15&amp;CHAR(10)&amp;"Evidence: "&amp;'L4 Advanced'!F15</f>
        <v/>
      </c>
      <c r="D598" s="203" t="n"/>
      <c r="E598" s="203" t="n"/>
      <c r="F598" s="204" t="n"/>
    </row>
    <row r="599" ht="16" customHeight="1" s="125">
      <c r="A599" s="244">
        <f>'L4 Advanced'!A16</f>
        <v/>
      </c>
      <c r="B599" s="245">
        <f>"   ↳  "&amp;IF('L4 Advanced'!H16="Yes","★ ","")&amp;'L4 Advanced'!C16</f>
        <v/>
      </c>
      <c r="C599" s="204" t="n"/>
      <c r="D599" s="240">
        <f>IF('L4 Advanced'!M16="Met","✓ Met",IF('L4 Advanced'!M16="Not Met","✗ Not met",IF('L4 Advanced'!M16="N/A","— N/A","○ Not tested")))</f>
        <v/>
      </c>
      <c r="E599" s="245" t="n"/>
      <c r="F599" s="245">
        <f>IF('L4 Advanced'!P16&lt;&gt;"",'L4 Advanced'!P16,"")</f>
        <v/>
      </c>
    </row>
    <row r="600" ht="16" customHeight="1" s="125">
      <c r="A600" s="244">
        <f>'L4 Advanced'!A17</f>
        <v/>
      </c>
      <c r="B600" s="245">
        <f>"   ↳  "&amp;IF('L4 Advanced'!H17="Yes","★ ","")&amp;'L4 Advanced'!C17</f>
        <v/>
      </c>
      <c r="C600" s="204" t="n"/>
      <c r="D600" s="240">
        <f>IF('L4 Advanced'!M17="Met","✓ Met",IF('L4 Advanced'!M17="Not Met","✗ Not met",IF('L4 Advanced'!M17="N/A","— N/A","○ Not tested")))</f>
        <v/>
      </c>
      <c r="E600" s="245" t="n"/>
      <c r="F600" s="245">
        <f>IF('L4 Advanced'!P17&lt;&gt;"",'L4 Advanced'!P17,"")</f>
        <v/>
      </c>
    </row>
    <row r="601" ht="16" customHeight="1" s="125">
      <c r="A601" s="244">
        <f>'L4 Advanced'!A18</f>
        <v/>
      </c>
      <c r="B601" s="245">
        <f>"   ↳  "&amp;IF('L4 Advanced'!H18="Yes","★ ","")&amp;'L4 Advanced'!C18</f>
        <v/>
      </c>
      <c r="C601" s="204" t="n"/>
      <c r="D601" s="240">
        <f>IF('L4 Advanced'!M18="Met","✓ Met",IF('L4 Advanced'!M18="Not Met","✗ Not met",IF('L4 Advanced'!M18="N/A","— N/A","○ Not tested")))</f>
        <v/>
      </c>
      <c r="E601" s="245" t="n"/>
      <c r="F601" s="245">
        <f>IF('L4 Advanced'!P18&lt;&gt;"",'L4 Advanced'!P18,"")</f>
        <v/>
      </c>
    </row>
    <row r="602" ht="16" customHeight="1" s="125">
      <c r="A602" s="244">
        <f>'L4 Advanced'!A19</f>
        <v/>
      </c>
      <c r="B602" s="245">
        <f>"   ↳  "&amp;IF('L4 Advanced'!H19="Yes","★ ","")&amp;'L4 Advanced'!C19</f>
        <v/>
      </c>
      <c r="C602" s="204" t="n"/>
      <c r="D602" s="240">
        <f>IF('L4 Advanced'!M19="Met","✓ Met",IF('L4 Advanced'!M19="Not Met","✗ Not met",IF('L4 Advanced'!M19="N/A","— N/A","○ Not tested")))</f>
        <v/>
      </c>
      <c r="E602" s="245" t="n"/>
      <c r="F602" s="245">
        <f>IF('L4 Advanced'!P19&lt;&gt;"",'L4 Advanced'!P19,"")</f>
        <v/>
      </c>
    </row>
    <row r="603" ht="16" customHeight="1" s="125">
      <c r="A603" s="244">
        <f>'L4 Advanced'!A20</f>
        <v/>
      </c>
      <c r="B603" s="245">
        <f>"   ↳  "&amp;IF('L4 Advanced'!H20="Yes","★ ","")&amp;'L4 Advanced'!C20</f>
        <v/>
      </c>
      <c r="C603" s="204" t="n"/>
      <c r="D603" s="240">
        <f>IF('L4 Advanced'!M20="Met","✓ Met",IF('L4 Advanced'!M20="Not Met","✗ Not met",IF('L4 Advanced'!M20="N/A","— N/A","○ Not tested")))</f>
        <v/>
      </c>
      <c r="E603" s="245" t="n"/>
      <c r="F603" s="245">
        <f>IF('L4 Advanced'!P20&lt;&gt;"",'L4 Advanced'!P20,"")</f>
        <v/>
      </c>
    </row>
    <row r="604" ht="16" customHeight="1" s="125">
      <c r="A604" s="244">
        <f>'L4 Advanced'!A21</f>
        <v/>
      </c>
      <c r="B604" s="245">
        <f>"   ↳  "&amp;IF('L4 Advanced'!H21="Yes","★ ","")&amp;'L4 Advanced'!C21</f>
        <v/>
      </c>
      <c r="C604" s="204" t="n"/>
      <c r="D604" s="240">
        <f>IF('L4 Advanced'!M21="Met","✓ Met",IF('L4 Advanced'!M21="Not Met","✗ Not met",IF('L4 Advanced'!M21="N/A","— N/A","○ Not tested")))</f>
        <v/>
      </c>
      <c r="E604" s="245" t="n"/>
      <c r="F604" s="245">
        <f>IF('L4 Advanced'!P21&lt;&gt;"",'L4 Advanced'!P21,"")</f>
        <v/>
      </c>
    </row>
    <row r="605" ht="16" customHeight="1" s="125">
      <c r="A605" s="244">
        <f>'L4 Advanced'!A22</f>
        <v/>
      </c>
      <c r="B605" s="245">
        <f>"   ↳  "&amp;IF('L4 Advanced'!H22="Yes","★ ","")&amp;'L4 Advanced'!C22</f>
        <v/>
      </c>
      <c r="C605" s="204" t="n"/>
      <c r="D605" s="240">
        <f>IF('L4 Advanced'!M22="Met","✓ Met",IF('L4 Advanced'!M22="Not Met","✗ Not met",IF('L4 Advanced'!M22="N/A","— N/A","○ Not tested")))</f>
        <v/>
      </c>
      <c r="E605" s="245" t="n"/>
      <c r="F605" s="245">
        <f>IF('L4 Advanced'!P22&lt;&gt;"",'L4 Advanced'!P22,"")</f>
        <v/>
      </c>
    </row>
    <row r="606" ht="16" customHeight="1" s="125">
      <c r="A606" s="244">
        <f>'L4 Advanced'!A23</f>
        <v/>
      </c>
      <c r="B606" s="245">
        <f>"   ↳  "&amp;IF('L4 Advanced'!H23="Yes","★ ","")&amp;'L4 Advanced'!C23</f>
        <v/>
      </c>
      <c r="C606" s="204" t="n"/>
      <c r="D606" s="240">
        <f>IF('L4 Advanced'!M23="Met","✓ Met",IF('L4 Advanced'!M23="Not Met","✗ Not met",IF('L4 Advanced'!M23="N/A","— N/A","○ Not tested")))</f>
        <v/>
      </c>
      <c r="E606" s="245" t="n"/>
      <c r="F606" s="245">
        <f>IF('L4 Advanced'!P23&lt;&gt;"",'L4 Advanced'!P23,"")</f>
        <v/>
      </c>
    </row>
    <row r="607" ht="29" customHeight="1" s="125">
      <c r="A607" s="244">
        <f>'L4 Advanced'!A24</f>
        <v/>
      </c>
      <c r="B607" s="245">
        <f>"   ↳  "&amp;IF('L4 Advanced'!H24="Yes","★ ","")&amp;'L4 Advanced'!C24</f>
        <v/>
      </c>
      <c r="C607" s="204" t="n"/>
      <c r="D607" s="240">
        <f>IF('L4 Advanced'!M24="Met","✓ Met",IF('L4 Advanced'!M24="Not Met","✗ Not met",IF('L4 Advanced'!M24="N/A","— N/A","○ Not tested")))</f>
        <v/>
      </c>
      <c r="E607" s="245" t="n"/>
      <c r="F607" s="245">
        <f>IF('L4 Advanced'!P24&lt;&gt;"",'L4 Advanced'!P24,"")</f>
        <v/>
      </c>
    </row>
    <row r="608" ht="16" customHeight="1" s="125">
      <c r="A608" s="244">
        <f>'L4 Advanced'!A25</f>
        <v/>
      </c>
      <c r="B608" s="245">
        <f>"   ↳  "&amp;IF('L4 Advanced'!H25="Yes","★ ","")&amp;'L4 Advanced'!C25</f>
        <v/>
      </c>
      <c r="C608" s="204" t="n"/>
      <c r="D608" s="240">
        <f>IF('L4 Advanced'!M25="Met","✓ Met",IF('L4 Advanced'!M25="Not Met","✗ Not met",IF('L4 Advanced'!M25="N/A","— N/A","○ Not tested")))</f>
        <v/>
      </c>
      <c r="E608" s="245" t="n"/>
      <c r="F608" s="245">
        <f>IF('L4 Advanced'!P25&lt;&gt;"",'L4 Advanced'!P25,"")</f>
        <v/>
      </c>
    </row>
    <row r="609" ht="56" customHeight="1" s="125">
      <c r="A609" s="238">
        <f>'L4 Advanced'!A26</f>
        <v/>
      </c>
      <c r="B609" s="239">
        <f>'L4 Advanced'!C26&amp;CHAR(10)&amp;"["&amp;'L4 Advanced'!B26&amp;" · "&amp;'L4 Advanced'!G26&amp;"]"</f>
        <v/>
      </c>
      <c r="C609" s="240">
        <f>IF('L4 Advanced'!I26=0,"Info only",IF('L4 Advanced'!H26="Yes","★ CRITICAL"&amp;CHAR(10),IF('L4 Advanced'!H26="★ subs","★ critical sub-items"&amp;CHAR(10),""))&amp;'L4 Advanced'!J26&amp;" · W"&amp;'L4 Advanced'!I26)</f>
        <v/>
      </c>
      <c r="D609" s="226">
        <f>IF('L4 Advanced'!I26=0,"— Not scored",IF('L4 Advanced'!J26="Tier",IF('L4 Advanced'!M26="Fully integrated","✓ FULLY INTEGRATED",IF('L4 Advanced'!M26="Not Met","✗ NOT MET",IF('L4 Advanced'!M26="Not Tested","○ NOT TESTED","◐ "&amp;UPPER('L4 Advanced'!M26)))),IF('L4 Advanced'!M26="Met","✓ MET",IF('L4 Advanced'!M26="Not Met","✗ NOT MET",IF('L4 Advanced'!M26="N/A","— N/A",IF('L4 Advanced'!M26="Counted",IF(AND('L4 Advanced'!N26&gt;=1,'L4 Advanced'!S26=0),"✓ MET",IF('L4 Advanced'!J26="All-or-nothing","✗ NOT MET",IF('L4 Advanced'!S26=1,"✗ NOT MET (★)","◐ PARTIAL")))&amp;CHAR(10)&amp;"("&amp;'L4 Advanced'!L26&amp;" of "&amp;'L4 Advanced'!K26&amp;")","○ NOT TESTED"))))))</f>
        <v/>
      </c>
      <c r="E609" s="241">
        <f>IF('L4 Advanced'!N26="","—",'L4 Advanced'!N26)</f>
        <v/>
      </c>
      <c r="F609" s="223">
        <f>'L4 Advanced'!O26&amp;IF('L4 Advanced'!P26&lt;&gt;"",CHAR(10)&amp;"Notes: "&amp;'L4 Advanced'!P26,"")</f>
        <v/>
      </c>
    </row>
    <row r="610" ht="64" customHeight="1" s="125">
      <c r="A610" s="242" t="n"/>
      <c r="B610" s="243">
        <f>"Developer's Guide: "&amp;IFERROR(LEFT('L4 Advanced'!D26,FIND(CHAR(10)&amp;CHAR(10)&amp;"Purpose:",'L4 Advanced'!D26)-1),'L4 Advanced'!D26)</f>
        <v/>
      </c>
      <c r="C610" s="243">
        <f>"Validator's Guide: "&amp;'L4 Advanced'!E26&amp;CHAR(10)&amp;"Evidence: "&amp;'L4 Advanced'!F26</f>
        <v/>
      </c>
      <c r="D610" s="203" t="n"/>
      <c r="E610" s="203" t="n"/>
      <c r="F610" s="204" t="n"/>
    </row>
    <row r="611" ht="16" customHeight="1" s="125">
      <c r="A611" s="244">
        <f>'L4 Advanced'!A27</f>
        <v/>
      </c>
      <c r="B611" s="245">
        <f>"   ↳  "&amp;IF('L4 Advanced'!H27="Yes","★ ","")&amp;'L4 Advanced'!C27</f>
        <v/>
      </c>
      <c r="C611" s="204" t="n"/>
      <c r="D611" s="240">
        <f>IF('L4 Advanced'!M27="Met","✓ Met",IF('L4 Advanced'!M27="Not Met","✗ Not met",IF('L4 Advanced'!M27="N/A","— N/A","○ Not tested")))</f>
        <v/>
      </c>
      <c r="E611" s="245" t="n"/>
      <c r="F611" s="245">
        <f>IF('L4 Advanced'!P27&lt;&gt;"",'L4 Advanced'!P27,"")</f>
        <v/>
      </c>
    </row>
    <row r="612" ht="16" customHeight="1" s="125">
      <c r="A612" s="244">
        <f>'L4 Advanced'!A28</f>
        <v/>
      </c>
      <c r="B612" s="245">
        <f>"   ↳  "&amp;IF('L4 Advanced'!H28="Yes","★ ","")&amp;'L4 Advanced'!C28</f>
        <v/>
      </c>
      <c r="C612" s="204" t="n"/>
      <c r="D612" s="240">
        <f>IF('L4 Advanced'!M28="Met","✓ Met",IF('L4 Advanced'!M28="Not Met","✗ Not met",IF('L4 Advanced'!M28="N/A","— N/A","○ Not tested")))</f>
        <v/>
      </c>
      <c r="E612" s="245" t="n"/>
      <c r="F612" s="245">
        <f>IF('L4 Advanced'!P28&lt;&gt;"",'L4 Advanced'!P28,"")</f>
        <v/>
      </c>
    </row>
    <row r="613" ht="16" customHeight="1" s="125">
      <c r="A613" s="244">
        <f>'L4 Advanced'!A29</f>
        <v/>
      </c>
      <c r="B613" s="245">
        <f>"   ↳  "&amp;IF('L4 Advanced'!H29="Yes","★ ","")&amp;'L4 Advanced'!C29</f>
        <v/>
      </c>
      <c r="C613" s="204" t="n"/>
      <c r="D613" s="240">
        <f>IF('L4 Advanced'!M29="Met","✓ Met",IF('L4 Advanced'!M29="Not Met","✗ Not met",IF('L4 Advanced'!M29="N/A","— N/A","○ Not tested")))</f>
        <v/>
      </c>
      <c r="E613" s="245" t="n"/>
      <c r="F613" s="245">
        <f>IF('L4 Advanced'!P29&lt;&gt;"",'L4 Advanced'!P29,"")</f>
        <v/>
      </c>
    </row>
    <row r="614" ht="16" customHeight="1" s="125">
      <c r="A614" s="244">
        <f>'L4 Advanced'!A30</f>
        <v/>
      </c>
      <c r="B614" s="245">
        <f>"   ↳  "&amp;IF('L4 Advanced'!H30="Yes","★ ","")&amp;'L4 Advanced'!C30</f>
        <v/>
      </c>
      <c r="C614" s="204" t="n"/>
      <c r="D614" s="240">
        <f>IF('L4 Advanced'!M30="Met","✓ Met",IF('L4 Advanced'!M30="Not Met","✗ Not met",IF('L4 Advanced'!M30="N/A","— N/A","○ Not tested")))</f>
        <v/>
      </c>
      <c r="E614" s="245" t="n"/>
      <c r="F614" s="245">
        <f>IF('L4 Advanced'!P30&lt;&gt;"",'L4 Advanced'!P30,"")</f>
        <v/>
      </c>
    </row>
    <row r="615" ht="16" customHeight="1" s="125">
      <c r="A615" s="244">
        <f>'L4 Advanced'!A31</f>
        <v/>
      </c>
      <c r="B615" s="245">
        <f>"   ↳  "&amp;IF('L4 Advanced'!H31="Yes","★ ","")&amp;'L4 Advanced'!C31</f>
        <v/>
      </c>
      <c r="C615" s="204" t="n"/>
      <c r="D615" s="240">
        <f>IF('L4 Advanced'!M31="Met","✓ Met",IF('L4 Advanced'!M31="Not Met","✗ Not met",IF('L4 Advanced'!M31="N/A","— N/A","○ Not tested")))</f>
        <v/>
      </c>
      <c r="E615" s="245" t="n"/>
      <c r="F615" s="245">
        <f>IF('L4 Advanced'!P31&lt;&gt;"",'L4 Advanced'!P31,"")</f>
        <v/>
      </c>
    </row>
    <row r="616" ht="16" customHeight="1" s="125">
      <c r="A616" s="244">
        <f>'L4 Advanced'!A32</f>
        <v/>
      </c>
      <c r="B616" s="245">
        <f>"   ↳  "&amp;IF('L4 Advanced'!H32="Yes","★ ","")&amp;'L4 Advanced'!C32</f>
        <v/>
      </c>
      <c r="C616" s="204" t="n"/>
      <c r="D616" s="240">
        <f>IF('L4 Advanced'!M32="Met","✓ Met",IF('L4 Advanced'!M32="Not Met","✗ Not met",IF('L4 Advanced'!M32="N/A","— N/A","○ Not tested")))</f>
        <v/>
      </c>
      <c r="E616" s="245" t="n"/>
      <c r="F616" s="245">
        <f>IF('L4 Advanced'!P32&lt;&gt;"",'L4 Advanced'!P32,"")</f>
        <v/>
      </c>
    </row>
    <row r="617" ht="16" customHeight="1" s="125">
      <c r="A617" s="244">
        <f>'L4 Advanced'!A33</f>
        <v/>
      </c>
      <c r="B617" s="245">
        <f>"   ↳  "&amp;IF('L4 Advanced'!H33="Yes","★ ","")&amp;'L4 Advanced'!C33</f>
        <v/>
      </c>
      <c r="C617" s="204" t="n"/>
      <c r="D617" s="240">
        <f>IF('L4 Advanced'!M33="Met","✓ Met",IF('L4 Advanced'!M33="Not Met","✗ Not met",IF('L4 Advanced'!M33="N/A","— N/A","○ Not tested")))</f>
        <v/>
      </c>
      <c r="E617" s="245" t="n"/>
      <c r="F617" s="245">
        <f>IF('L4 Advanced'!P33&lt;&gt;"",'L4 Advanced'!P33,"")</f>
        <v/>
      </c>
    </row>
    <row r="618" ht="16" customHeight="1" s="125">
      <c r="A618" s="244">
        <f>'L4 Advanced'!A34</f>
        <v/>
      </c>
      <c r="B618" s="245">
        <f>"   ↳  "&amp;IF('L4 Advanced'!H34="Yes","★ ","")&amp;'L4 Advanced'!C34</f>
        <v/>
      </c>
      <c r="C618" s="204" t="n"/>
      <c r="D618" s="240">
        <f>IF('L4 Advanced'!M34="Met","✓ Met",IF('L4 Advanced'!M34="Not Met","✗ Not met",IF('L4 Advanced'!M34="N/A","— N/A","○ Not tested")))</f>
        <v/>
      </c>
      <c r="E618" s="245" t="n"/>
      <c r="F618" s="245">
        <f>IF('L4 Advanced'!P34&lt;&gt;"",'L4 Advanced'!P34,"")</f>
        <v/>
      </c>
    </row>
    <row r="619" ht="16" customHeight="1" s="125">
      <c r="A619" s="244">
        <f>'L4 Advanced'!A35</f>
        <v/>
      </c>
      <c r="B619" s="245">
        <f>"   ↳  "&amp;IF('L4 Advanced'!H35="Yes","★ ","")&amp;'L4 Advanced'!C35</f>
        <v/>
      </c>
      <c r="C619" s="204" t="n"/>
      <c r="D619" s="240">
        <f>IF('L4 Advanced'!M35="Met","✓ Met",IF('L4 Advanced'!M35="Not Met","✗ Not met",IF('L4 Advanced'!M35="N/A","— N/A","○ Not tested")))</f>
        <v/>
      </c>
      <c r="E619" s="245" t="n"/>
      <c r="F619" s="245">
        <f>IF('L4 Advanced'!P35&lt;&gt;"",'L4 Advanced'!P35,"")</f>
        <v/>
      </c>
    </row>
    <row r="620" ht="16" customHeight="1" s="125">
      <c r="A620" s="244">
        <f>'L4 Advanced'!A36</f>
        <v/>
      </c>
      <c r="B620" s="245">
        <f>"   ↳  "&amp;IF('L4 Advanced'!H36="Yes","★ ","")&amp;'L4 Advanced'!C36</f>
        <v/>
      </c>
      <c r="C620" s="204" t="n"/>
      <c r="D620" s="240">
        <f>IF('L4 Advanced'!M36="Met","✓ Met",IF('L4 Advanced'!M36="Not Met","✗ Not met",IF('L4 Advanced'!M36="N/A","— N/A","○ Not tested")))</f>
        <v/>
      </c>
      <c r="E620" s="245" t="n"/>
      <c r="F620" s="245">
        <f>IF('L4 Advanced'!P36&lt;&gt;"",'L4 Advanced'!P36,"")</f>
        <v/>
      </c>
    </row>
    <row r="621" ht="56" customHeight="1" s="125">
      <c r="A621" s="238">
        <f>'L4 Advanced'!A37</f>
        <v/>
      </c>
      <c r="B621" s="239">
        <f>'L4 Advanced'!C37&amp;CHAR(10)&amp;"["&amp;'L4 Advanced'!B37&amp;" · "&amp;'L4 Advanced'!G37&amp;"]"</f>
        <v/>
      </c>
      <c r="C621" s="240">
        <f>IF('L4 Advanced'!I37=0,"Info only",IF('L4 Advanced'!H37="Yes","★ CRITICAL"&amp;CHAR(10),IF('L4 Advanced'!H37="★ subs","★ critical sub-items"&amp;CHAR(10),""))&amp;'L4 Advanced'!J37&amp;" · W"&amp;'L4 Advanced'!I37)</f>
        <v/>
      </c>
      <c r="D621" s="226">
        <f>IF('L4 Advanced'!I37=0,"— Not scored",IF('L4 Advanced'!J37="Tier",IF('L4 Advanced'!M37="Fully integrated","✓ FULLY INTEGRATED",IF('L4 Advanced'!M37="Not Met","✗ NOT MET",IF('L4 Advanced'!M37="Not Tested","○ NOT TESTED","◐ "&amp;UPPER('L4 Advanced'!M37)))),IF('L4 Advanced'!M37="Met","✓ MET",IF('L4 Advanced'!M37="Not Met","✗ NOT MET",IF('L4 Advanced'!M37="N/A","— N/A",IF('L4 Advanced'!M37="Counted",IF(AND('L4 Advanced'!N37&gt;=1,'L4 Advanced'!S37=0),"✓ MET",IF('L4 Advanced'!J37="All-or-nothing","✗ NOT MET",IF('L4 Advanced'!S37=1,"✗ NOT MET (★)","◐ PARTIAL")))&amp;CHAR(10)&amp;"("&amp;'L4 Advanced'!L37&amp;" of "&amp;'L4 Advanced'!K37&amp;")","○ NOT TESTED"))))))</f>
        <v/>
      </c>
      <c r="E621" s="241">
        <f>IF('L4 Advanced'!N37="","—",'L4 Advanced'!N37)</f>
        <v/>
      </c>
      <c r="F621" s="223">
        <f>'L4 Advanced'!O37&amp;IF('L4 Advanced'!P37&lt;&gt;"",CHAR(10)&amp;"Notes: "&amp;'L4 Advanced'!P37,"")</f>
        <v/>
      </c>
    </row>
    <row r="622" ht="40" customHeight="1" s="125">
      <c r="A622" s="242" t="n"/>
      <c r="B622" s="243">
        <f>"Developer's Guide: "&amp;IFERROR(LEFT('L4 Advanced'!D37,FIND(CHAR(10)&amp;CHAR(10)&amp;"Purpose:",'L4 Advanced'!D37)-1),'L4 Advanced'!D37)</f>
        <v/>
      </c>
      <c r="C622" s="243">
        <f>"Validator's Guide: "&amp;'L4 Advanced'!E37&amp;CHAR(10)&amp;"Evidence: "&amp;'L4 Advanced'!F37</f>
        <v/>
      </c>
      <c r="D622" s="203" t="n"/>
      <c r="E622" s="203" t="n"/>
      <c r="F622" s="204" t="n"/>
    </row>
    <row r="623" ht="56" customHeight="1" s="125">
      <c r="A623" s="238">
        <f>'L4 Advanced'!A38</f>
        <v/>
      </c>
      <c r="B623" s="239">
        <f>'L4 Advanced'!C38&amp;CHAR(10)&amp;"["&amp;'L4 Advanced'!B38&amp;" · "&amp;'L4 Advanced'!G38&amp;"]"</f>
        <v/>
      </c>
      <c r="C623" s="240">
        <f>IF('L4 Advanced'!I38=0,"Info only",IF('L4 Advanced'!H38="Yes","★ CRITICAL"&amp;CHAR(10),IF('L4 Advanced'!H38="★ subs","★ critical sub-items"&amp;CHAR(10),""))&amp;'L4 Advanced'!J38&amp;" · W"&amp;'L4 Advanced'!I38)</f>
        <v/>
      </c>
      <c r="D623" s="226">
        <f>IF('L4 Advanced'!I38=0,"— Not scored",IF('L4 Advanced'!J38="Tier",IF('L4 Advanced'!M38="Fully integrated","✓ FULLY INTEGRATED",IF('L4 Advanced'!M38="Not Met","✗ NOT MET",IF('L4 Advanced'!M38="Not Tested","○ NOT TESTED","◐ "&amp;UPPER('L4 Advanced'!M38)))),IF('L4 Advanced'!M38="Met","✓ MET",IF('L4 Advanced'!M38="Not Met","✗ NOT MET",IF('L4 Advanced'!M38="N/A","— N/A",IF('L4 Advanced'!M38="Counted",IF(AND('L4 Advanced'!N38&gt;=1,'L4 Advanced'!S38=0),"✓ MET",IF('L4 Advanced'!J38="All-or-nothing","✗ NOT MET",IF('L4 Advanced'!S38=1,"✗ NOT MET (★)","◐ PARTIAL")))&amp;CHAR(10)&amp;"("&amp;'L4 Advanced'!L38&amp;" of "&amp;'L4 Advanced'!K38&amp;")","○ NOT TESTED"))))))</f>
        <v/>
      </c>
      <c r="E623" s="241">
        <f>IF('L4 Advanced'!N38="","—",'L4 Advanced'!N38)</f>
        <v/>
      </c>
      <c r="F623" s="223">
        <f>'L4 Advanced'!O38&amp;IF('L4 Advanced'!P38&lt;&gt;"",CHAR(10)&amp;"Notes: "&amp;'L4 Advanced'!P38,"")</f>
        <v/>
      </c>
    </row>
    <row r="624" ht="40" customHeight="1" s="125">
      <c r="A624" s="242" t="n"/>
      <c r="B624" s="243">
        <f>"Developer's Guide: "&amp;IFERROR(LEFT('L4 Advanced'!D38,FIND(CHAR(10)&amp;CHAR(10)&amp;"Purpose:",'L4 Advanced'!D38)-1),'L4 Advanced'!D38)</f>
        <v/>
      </c>
      <c r="C624" s="243">
        <f>"Validator's Guide: "&amp;'L4 Advanced'!E38&amp;CHAR(10)&amp;"Evidence: "&amp;'L4 Advanced'!F38</f>
        <v/>
      </c>
      <c r="D624" s="203" t="n"/>
      <c r="E624" s="203" t="n"/>
      <c r="F624" s="204" t="n"/>
    </row>
    <row r="625" ht="56" customHeight="1" s="125">
      <c r="A625" s="238">
        <f>'L4 Advanced'!A39</f>
        <v/>
      </c>
      <c r="B625" s="239">
        <f>'L4 Advanced'!C39&amp;CHAR(10)&amp;"["&amp;'L4 Advanced'!B39&amp;" · "&amp;'L4 Advanced'!G39&amp;"]"</f>
        <v/>
      </c>
      <c r="C625" s="240">
        <f>IF('L4 Advanced'!I39=0,"Info only",IF('L4 Advanced'!H39="Yes","★ CRITICAL"&amp;CHAR(10),IF('L4 Advanced'!H39="★ subs","★ critical sub-items"&amp;CHAR(10),""))&amp;'L4 Advanced'!J39&amp;" · W"&amp;'L4 Advanced'!I39)</f>
        <v/>
      </c>
      <c r="D625" s="226">
        <f>IF('L4 Advanced'!I39=0,"— Not scored",IF('L4 Advanced'!J39="Tier",IF('L4 Advanced'!M39="Fully integrated","✓ FULLY INTEGRATED",IF('L4 Advanced'!M39="Not Met","✗ NOT MET",IF('L4 Advanced'!M39="Not Tested","○ NOT TESTED","◐ "&amp;UPPER('L4 Advanced'!M39)))),IF('L4 Advanced'!M39="Met","✓ MET",IF('L4 Advanced'!M39="Not Met","✗ NOT MET",IF('L4 Advanced'!M39="N/A","— N/A",IF('L4 Advanced'!M39="Counted",IF(AND('L4 Advanced'!N39&gt;=1,'L4 Advanced'!S39=0),"✓ MET",IF('L4 Advanced'!J39="All-or-nothing","✗ NOT MET",IF('L4 Advanced'!S39=1,"✗ NOT MET (★)","◐ PARTIAL")))&amp;CHAR(10)&amp;"("&amp;'L4 Advanced'!L39&amp;" of "&amp;'L4 Advanced'!K39&amp;")","○ NOT TESTED"))))))</f>
        <v/>
      </c>
      <c r="E625" s="241">
        <f>IF('L4 Advanced'!N39="","—",'L4 Advanced'!N39)</f>
        <v/>
      </c>
      <c r="F625" s="223">
        <f>'L4 Advanced'!O39&amp;IF('L4 Advanced'!P39&lt;&gt;"",CHAR(10)&amp;"Notes: "&amp;'L4 Advanced'!P39,"")</f>
        <v/>
      </c>
    </row>
    <row r="626" ht="52" customHeight="1" s="125">
      <c r="A626" s="242" t="n"/>
      <c r="B626" s="243">
        <f>"Developer's Guide: "&amp;IFERROR(LEFT('L4 Advanced'!D39,FIND(CHAR(10)&amp;CHAR(10)&amp;"Purpose:",'L4 Advanced'!D39)-1),'L4 Advanced'!D39)</f>
        <v/>
      </c>
      <c r="C626" s="243">
        <f>"Validator's Guide: "&amp;'L4 Advanced'!E39&amp;CHAR(10)&amp;"Evidence: "&amp;'L4 Advanced'!F39</f>
        <v/>
      </c>
      <c r="D626" s="203" t="n"/>
      <c r="E626" s="203" t="n"/>
      <c r="F626" s="204" t="n"/>
    </row>
  </sheetData>
  <mergeCells count="564">
    <mergeCell ref="A64:B64"/>
    <mergeCell ref="A51:B51"/>
    <mergeCell ref="E71:F71"/>
    <mergeCell ref="A133:F133"/>
    <mergeCell ref="B141:C141"/>
    <mergeCell ref="B439:C439"/>
    <mergeCell ref="C469:F469"/>
    <mergeCell ref="B504:C504"/>
    <mergeCell ref="E79:F79"/>
    <mergeCell ref="E73:F73"/>
    <mergeCell ref="B441:C441"/>
    <mergeCell ref="B235:C235"/>
    <mergeCell ref="C556:F556"/>
    <mergeCell ref="B362:C362"/>
    <mergeCell ref="B312:C312"/>
    <mergeCell ref="B505:C505"/>
    <mergeCell ref="B499:C499"/>
    <mergeCell ref="C322:F322"/>
    <mergeCell ref="A318:F318"/>
    <mergeCell ref="A13:F13"/>
    <mergeCell ref="B243:C243"/>
    <mergeCell ref="B205:C205"/>
    <mergeCell ref="B314:C314"/>
    <mergeCell ref="B363:C363"/>
    <mergeCell ref="C349:F349"/>
    <mergeCell ref="C591:F591"/>
    <mergeCell ref="B599:C599"/>
    <mergeCell ref="A40:F40"/>
    <mergeCell ref="B574:C574"/>
    <mergeCell ref="A15:F15"/>
    <mergeCell ref="A35:B35"/>
    <mergeCell ref="A62:B62"/>
    <mergeCell ref="E53:F53"/>
    <mergeCell ref="C251:F251"/>
    <mergeCell ref="B200:C200"/>
    <mergeCell ref="B365:C365"/>
    <mergeCell ref="A59:B59"/>
    <mergeCell ref="E55:F55"/>
    <mergeCell ref="C118:E118"/>
    <mergeCell ref="E67:F67"/>
    <mergeCell ref="B236:C236"/>
    <mergeCell ref="E48:F48"/>
    <mergeCell ref="B429:C429"/>
    <mergeCell ref="B500:C500"/>
    <mergeCell ref="A61:B61"/>
    <mergeCell ref="B223:C223"/>
    <mergeCell ref="B431:C431"/>
    <mergeCell ref="B529:C529"/>
    <mergeCell ref="B523:C523"/>
    <mergeCell ref="B618:C618"/>
    <mergeCell ref="B447:C447"/>
    <mergeCell ref="B605:C605"/>
    <mergeCell ref="B434:C434"/>
    <mergeCell ref="E16:F16"/>
    <mergeCell ref="A52:B52"/>
    <mergeCell ref="E76:F76"/>
    <mergeCell ref="C116:E116"/>
    <mergeCell ref="C422:F422"/>
    <mergeCell ref="B313:C313"/>
    <mergeCell ref="B213:C213"/>
    <mergeCell ref="B378:C378"/>
    <mergeCell ref="B384:C384"/>
    <mergeCell ref="B444:C444"/>
    <mergeCell ref="B620:C620"/>
    <mergeCell ref="A88:F88"/>
    <mergeCell ref="C388:F388"/>
    <mergeCell ref="C18:D18"/>
    <mergeCell ref="C188:F188"/>
    <mergeCell ref="A153:F153"/>
    <mergeCell ref="E18:F18"/>
    <mergeCell ref="C424:F424"/>
    <mergeCell ref="B607:C607"/>
    <mergeCell ref="A83:B83"/>
    <mergeCell ref="C138:F138"/>
    <mergeCell ref="B386:C386"/>
    <mergeCell ref="B242:C242"/>
    <mergeCell ref="B302:C302"/>
    <mergeCell ref="B600:C600"/>
    <mergeCell ref="C117:E117"/>
    <mergeCell ref="A217:F217"/>
    <mergeCell ref="A49:B49"/>
    <mergeCell ref="C488:F488"/>
    <mergeCell ref="B208:C208"/>
    <mergeCell ref="A36:B36"/>
    <mergeCell ref="B615:C615"/>
    <mergeCell ref="B366:C366"/>
    <mergeCell ref="A154:F154"/>
    <mergeCell ref="C128:D128"/>
    <mergeCell ref="C115:E115"/>
    <mergeCell ref="A78:B78"/>
    <mergeCell ref="B210:C210"/>
    <mergeCell ref="C465:F465"/>
    <mergeCell ref="A65:B65"/>
    <mergeCell ref="E69:F69"/>
    <mergeCell ref="A80:B80"/>
    <mergeCell ref="A131:F131"/>
    <mergeCell ref="C129:D129"/>
    <mergeCell ref="A55:B55"/>
    <mergeCell ref="B333:C333"/>
    <mergeCell ref="E77:F77"/>
    <mergeCell ref="B520:C520"/>
    <mergeCell ref="B491:C491"/>
    <mergeCell ref="B234:C234"/>
    <mergeCell ref="B172:C172"/>
    <mergeCell ref="B270:C270"/>
    <mergeCell ref="C554:F554"/>
    <mergeCell ref="B506:C506"/>
    <mergeCell ref="C541:F541"/>
    <mergeCell ref="B239:C239"/>
    <mergeCell ref="C320:F320"/>
    <mergeCell ref="B595:C595"/>
    <mergeCell ref="E72:F72"/>
    <mergeCell ref="A1:F1"/>
    <mergeCell ref="C178:F178"/>
    <mergeCell ref="C443:F443"/>
    <mergeCell ref="C272:F272"/>
    <mergeCell ref="A60:B60"/>
    <mergeCell ref="B150:C150"/>
    <mergeCell ref="E17:F17"/>
    <mergeCell ref="B475:C475"/>
    <mergeCell ref="E82:F82"/>
    <mergeCell ref="B323:C323"/>
    <mergeCell ref="B450:C450"/>
    <mergeCell ref="C438:F438"/>
    <mergeCell ref="B244:C244"/>
    <mergeCell ref="E19:F19"/>
    <mergeCell ref="C119:E119"/>
    <mergeCell ref="B229:C229"/>
    <mergeCell ref="B539:C539"/>
    <mergeCell ref="B514:C514"/>
    <mergeCell ref="A4:F4"/>
    <mergeCell ref="B550:C550"/>
    <mergeCell ref="C511:F511"/>
    <mergeCell ref="B606:C606"/>
    <mergeCell ref="A50:B50"/>
    <mergeCell ref="B451:C451"/>
    <mergeCell ref="B245:C245"/>
    <mergeCell ref="B260:C260"/>
    <mergeCell ref="D90:F90"/>
    <mergeCell ref="B463:C463"/>
    <mergeCell ref="A81:B81"/>
    <mergeCell ref="B104:F104"/>
    <mergeCell ref="B334:C334"/>
    <mergeCell ref="B163:C163"/>
    <mergeCell ref="C562:F562"/>
    <mergeCell ref="B570:C570"/>
    <mergeCell ref="B309:C309"/>
    <mergeCell ref="E47:F47"/>
    <mergeCell ref="B106:F106"/>
    <mergeCell ref="C626:F626"/>
    <mergeCell ref="B507:C507"/>
    <mergeCell ref="B165:C165"/>
    <mergeCell ref="C420:F420"/>
    <mergeCell ref="A317:F317"/>
    <mergeCell ref="B311:C311"/>
    <mergeCell ref="A70:B70"/>
    <mergeCell ref="A86:F86"/>
    <mergeCell ref="C136:F136"/>
    <mergeCell ref="B611:C611"/>
    <mergeCell ref="E63:F63"/>
    <mergeCell ref="A99:B99"/>
    <mergeCell ref="C486:F486"/>
    <mergeCell ref="A74:B74"/>
    <mergeCell ref="B377:C377"/>
    <mergeCell ref="B191:C191"/>
    <mergeCell ref="A76:B76"/>
    <mergeCell ref="B476:C476"/>
    <mergeCell ref="B255:C255"/>
    <mergeCell ref="C212:F212"/>
    <mergeCell ref="B266:C266"/>
    <mergeCell ref="A589:F589"/>
    <mergeCell ref="B564:C564"/>
    <mergeCell ref="C276:F276"/>
    <mergeCell ref="B558:C558"/>
    <mergeCell ref="B616:C616"/>
    <mergeCell ref="E22:F22"/>
    <mergeCell ref="D96:F96"/>
    <mergeCell ref="C577:F577"/>
    <mergeCell ref="B268:C268"/>
    <mergeCell ref="B324:C324"/>
    <mergeCell ref="C36:F36"/>
    <mergeCell ref="A7:F7"/>
    <mergeCell ref="B566:C566"/>
    <mergeCell ref="C207:F207"/>
    <mergeCell ref="B261:C261"/>
    <mergeCell ref="A45:B45"/>
    <mergeCell ref="D91:F91"/>
    <mergeCell ref="A101:F101"/>
    <mergeCell ref="B105:F105"/>
    <mergeCell ref="A2:F2"/>
    <mergeCell ref="D93:F93"/>
    <mergeCell ref="B471:C471"/>
    <mergeCell ref="A46:B46"/>
    <mergeCell ref="C288:F288"/>
    <mergeCell ref="B107:F107"/>
    <mergeCell ref="B337:C337"/>
    <mergeCell ref="B579:C579"/>
    <mergeCell ref="A125:F125"/>
    <mergeCell ref="C369:F369"/>
    <mergeCell ref="B535:C535"/>
    <mergeCell ref="A112:F112"/>
    <mergeCell ref="B352:C352"/>
    <mergeCell ref="A71:B71"/>
    <mergeCell ref="B174:C174"/>
    <mergeCell ref="B230:C230"/>
    <mergeCell ref="B339:C339"/>
    <mergeCell ref="C460:F460"/>
    <mergeCell ref="A127:F127"/>
    <mergeCell ref="B410:C410"/>
    <mergeCell ref="C398:F398"/>
    <mergeCell ref="C227:F227"/>
    <mergeCell ref="B466:C466"/>
    <mergeCell ref="C202:F202"/>
    <mergeCell ref="B403:C403"/>
    <mergeCell ref="B281:C281"/>
    <mergeCell ref="B501:C501"/>
    <mergeCell ref="B497:C497"/>
    <mergeCell ref="E66:F66"/>
    <mergeCell ref="A218:F218"/>
    <mergeCell ref="A77:B77"/>
    <mergeCell ref="B526:C526"/>
    <mergeCell ref="E68:F68"/>
    <mergeCell ref="B357:C357"/>
    <mergeCell ref="C622:F622"/>
    <mergeCell ref="C355:F355"/>
    <mergeCell ref="B332:C332"/>
    <mergeCell ref="B307:C307"/>
    <mergeCell ref="B350:C350"/>
    <mergeCell ref="B294:C294"/>
    <mergeCell ref="B617:C617"/>
    <mergeCell ref="C455:F455"/>
    <mergeCell ref="B358:C358"/>
    <mergeCell ref="C449:F449"/>
    <mergeCell ref="B594:C594"/>
    <mergeCell ref="B162:C162"/>
    <mergeCell ref="E59:F59"/>
    <mergeCell ref="B569:C569"/>
    <mergeCell ref="A10:F10"/>
    <mergeCell ref="C21:D21"/>
    <mergeCell ref="E46:F46"/>
    <mergeCell ref="A57:B57"/>
    <mergeCell ref="C152:F152"/>
    <mergeCell ref="E61:F61"/>
    <mergeCell ref="A39:F39"/>
    <mergeCell ref="D99:F99"/>
    <mergeCell ref="A96:B96"/>
    <mergeCell ref="E54:F54"/>
    <mergeCell ref="B241:C241"/>
    <mergeCell ref="B189:C189"/>
    <mergeCell ref="B343:C343"/>
    <mergeCell ref="B585:C585"/>
    <mergeCell ref="B474:C474"/>
    <mergeCell ref="C297:F297"/>
    <mergeCell ref="B305:C305"/>
    <mergeCell ref="E56:F56"/>
    <mergeCell ref="B110:F110"/>
    <mergeCell ref="B351:C351"/>
    <mergeCell ref="B516:C516"/>
    <mergeCell ref="B411:C411"/>
    <mergeCell ref="B345:C345"/>
    <mergeCell ref="C610:F610"/>
    <mergeCell ref="C299:F299"/>
    <mergeCell ref="B190:C190"/>
    <mergeCell ref="B295:C295"/>
    <mergeCell ref="B282:C282"/>
    <mergeCell ref="B580:C580"/>
    <mergeCell ref="B409:C409"/>
    <mergeCell ref="C292:F292"/>
    <mergeCell ref="C528:F528"/>
    <mergeCell ref="A113:F113"/>
    <mergeCell ref="C16:D16"/>
    <mergeCell ref="B346:C346"/>
    <mergeCell ref="B103:F103"/>
    <mergeCell ref="A47:B47"/>
    <mergeCell ref="B308:C308"/>
    <mergeCell ref="B379:C379"/>
    <mergeCell ref="B372:C372"/>
    <mergeCell ref="B310:C310"/>
    <mergeCell ref="B139:C139"/>
    <mergeCell ref="B608:C608"/>
    <mergeCell ref="A44:B44"/>
    <mergeCell ref="B374:C374"/>
    <mergeCell ref="B203:C203"/>
    <mergeCell ref="A58:B58"/>
    <mergeCell ref="A98:B98"/>
    <mergeCell ref="A73:B73"/>
    <mergeCell ref="E62:F62"/>
    <mergeCell ref="C587:F587"/>
    <mergeCell ref="B326:C326"/>
    <mergeCell ref="E64:F64"/>
    <mergeCell ref="E51:F51"/>
    <mergeCell ref="C249:F249"/>
    <mergeCell ref="C376:F376"/>
    <mergeCell ref="B524:C524"/>
    <mergeCell ref="C534:F534"/>
    <mergeCell ref="E128:F128"/>
    <mergeCell ref="B613:C613"/>
    <mergeCell ref="C549:F549"/>
    <mergeCell ref="A134:F134"/>
    <mergeCell ref="E65:F65"/>
    <mergeCell ref="B367:C367"/>
    <mergeCell ref="B427:C427"/>
    <mergeCell ref="B283:C283"/>
    <mergeCell ref="B519:C519"/>
    <mergeCell ref="C171:F171"/>
    <mergeCell ref="C17:D17"/>
    <mergeCell ref="B456:C456"/>
    <mergeCell ref="A53:B53"/>
    <mergeCell ref="A24:F24"/>
    <mergeCell ref="A68:B68"/>
    <mergeCell ref="C19:D19"/>
    <mergeCell ref="E75:F75"/>
    <mergeCell ref="A124:F124"/>
    <mergeCell ref="A48:B48"/>
    <mergeCell ref="B380:C380"/>
    <mergeCell ref="B209:C209"/>
    <mergeCell ref="B445:C445"/>
    <mergeCell ref="C433:F433"/>
    <mergeCell ref="B537:C537"/>
    <mergeCell ref="C114:E114"/>
    <mergeCell ref="C547:F547"/>
    <mergeCell ref="B140:C140"/>
    <mergeCell ref="A79:B79"/>
    <mergeCell ref="B509:C509"/>
    <mergeCell ref="B303:C303"/>
    <mergeCell ref="B601:C601"/>
    <mergeCell ref="A42:F42"/>
    <mergeCell ref="B253:C253"/>
    <mergeCell ref="B551:C551"/>
    <mergeCell ref="A126:F126"/>
    <mergeCell ref="B440:C440"/>
    <mergeCell ref="B240:C240"/>
    <mergeCell ref="B538:C538"/>
    <mergeCell ref="B532:C532"/>
    <mergeCell ref="B603:C603"/>
    <mergeCell ref="C290:F290"/>
    <mergeCell ref="C624:F624"/>
    <mergeCell ref="B563:C563"/>
    <mergeCell ref="B515:C515"/>
    <mergeCell ref="B329:C329"/>
    <mergeCell ref="B565:C565"/>
    <mergeCell ref="B614:C614"/>
    <mergeCell ref="A63:B63"/>
    <mergeCell ref="B418:C418"/>
    <mergeCell ref="B393:C393"/>
    <mergeCell ref="B356:C356"/>
    <mergeCell ref="B160:C160"/>
    <mergeCell ref="B306:C306"/>
    <mergeCell ref="E58:F58"/>
    <mergeCell ref="C121:E121"/>
    <mergeCell ref="C316:F316"/>
    <mergeCell ref="A92:B92"/>
    <mergeCell ref="B224:C224"/>
    <mergeCell ref="C408:F408"/>
    <mergeCell ref="C473:F473"/>
    <mergeCell ref="B199:C199"/>
    <mergeCell ref="A493:F493"/>
    <mergeCell ref="B435:C435"/>
    <mergeCell ref="E83:F83"/>
    <mergeCell ref="A94:B94"/>
    <mergeCell ref="B184:C184"/>
    <mergeCell ref="A69:B69"/>
    <mergeCell ref="C20:D20"/>
    <mergeCell ref="B228:C228"/>
    <mergeCell ref="E20:F20"/>
    <mergeCell ref="C568:F568"/>
    <mergeCell ref="C22:D22"/>
    <mergeCell ref="C122:E122"/>
    <mergeCell ref="E78:F78"/>
    <mergeCell ref="B148:C148"/>
    <mergeCell ref="B446:C446"/>
    <mergeCell ref="C426:F426"/>
    <mergeCell ref="E80:F80"/>
    <mergeCell ref="B619:C619"/>
    <mergeCell ref="B304:C304"/>
    <mergeCell ref="B602:C602"/>
    <mergeCell ref="C336:F336"/>
    <mergeCell ref="B254:C254"/>
    <mergeCell ref="B490:C490"/>
    <mergeCell ref="B604:C604"/>
    <mergeCell ref="E81:F81"/>
    <mergeCell ref="B256:C256"/>
    <mergeCell ref="B383:C383"/>
    <mergeCell ref="A67:B67"/>
    <mergeCell ref="A87:F87"/>
    <mergeCell ref="C331:F331"/>
    <mergeCell ref="C598:F598"/>
    <mergeCell ref="A82:B82"/>
    <mergeCell ref="A89:F89"/>
    <mergeCell ref="B159:C159"/>
    <mergeCell ref="B102:F102"/>
    <mergeCell ref="C35:D35"/>
    <mergeCell ref="B161:C161"/>
    <mergeCell ref="C120:E120"/>
    <mergeCell ref="B530:C530"/>
    <mergeCell ref="C220:F220"/>
    <mergeCell ref="C518:F518"/>
    <mergeCell ref="C543:F543"/>
    <mergeCell ref="C195:F195"/>
    <mergeCell ref="A66:B66"/>
    <mergeCell ref="B470:C470"/>
    <mergeCell ref="B225:C225"/>
    <mergeCell ref="E74:F74"/>
    <mergeCell ref="B461:C461"/>
    <mergeCell ref="B559:C559"/>
    <mergeCell ref="C545:F545"/>
    <mergeCell ref="B175:C175"/>
    <mergeCell ref="C259:F259"/>
    <mergeCell ref="C197:F197"/>
    <mergeCell ref="B267:C267"/>
    <mergeCell ref="C130:D130"/>
    <mergeCell ref="A95:B95"/>
    <mergeCell ref="B436:C436"/>
    <mergeCell ref="C495:F495"/>
    <mergeCell ref="B525:C525"/>
    <mergeCell ref="C482:F482"/>
    <mergeCell ref="B373:C373"/>
    <mergeCell ref="B269:C269"/>
    <mergeCell ref="B536:C536"/>
    <mergeCell ref="A97:B97"/>
    <mergeCell ref="A72:B72"/>
    <mergeCell ref="C169:F169"/>
    <mergeCell ref="B325:C325"/>
    <mergeCell ref="A6:F6"/>
    <mergeCell ref="B414:C414"/>
    <mergeCell ref="C400:F400"/>
    <mergeCell ref="E21:F21"/>
    <mergeCell ref="B327:C327"/>
    <mergeCell ref="E129:F129"/>
    <mergeCell ref="B612:C612"/>
    <mergeCell ref="C573:F573"/>
    <mergeCell ref="C513:F513"/>
    <mergeCell ref="B416:C416"/>
    <mergeCell ref="B193:C193"/>
    <mergeCell ref="B149:C149"/>
    <mergeCell ref="A3:F3"/>
    <mergeCell ref="B391:C391"/>
    <mergeCell ref="B247:C247"/>
    <mergeCell ref="B385:C385"/>
    <mergeCell ref="A54:B54"/>
    <mergeCell ref="B262:C262"/>
    <mergeCell ref="C145:F145"/>
    <mergeCell ref="A90:B90"/>
    <mergeCell ref="D92:F92"/>
    <mergeCell ref="A56:B56"/>
    <mergeCell ref="A395:F395"/>
    <mergeCell ref="A588:F588"/>
    <mergeCell ref="D94:F94"/>
    <mergeCell ref="B467:C467"/>
    <mergeCell ref="E49:F49"/>
    <mergeCell ref="B108:F108"/>
    <mergeCell ref="B246:C246"/>
    <mergeCell ref="B338:C338"/>
    <mergeCell ref="B496:C496"/>
    <mergeCell ref="C286:F286"/>
    <mergeCell ref="B183:C183"/>
    <mergeCell ref="C503:F503"/>
    <mergeCell ref="B406:C406"/>
    <mergeCell ref="B340:C340"/>
    <mergeCell ref="B164:C164"/>
    <mergeCell ref="B462:C462"/>
    <mergeCell ref="B560:C560"/>
    <mergeCell ref="B498:C498"/>
    <mergeCell ref="A492:F492"/>
    <mergeCell ref="B277:C277"/>
    <mergeCell ref="A41:F41"/>
    <mergeCell ref="B575:C575"/>
    <mergeCell ref="B404:C404"/>
    <mergeCell ref="C361:F361"/>
    <mergeCell ref="B252:C252"/>
    <mergeCell ref="C158:F158"/>
    <mergeCell ref="B552:C552"/>
    <mergeCell ref="C264:F264"/>
    <mergeCell ref="A85:F85"/>
    <mergeCell ref="B353:C353"/>
    <mergeCell ref="B480:C480"/>
    <mergeCell ref="B328:C328"/>
    <mergeCell ref="B430:C430"/>
    <mergeCell ref="C216:F216"/>
    <mergeCell ref="B417:C417"/>
    <mergeCell ref="B392:C392"/>
    <mergeCell ref="A9:F9"/>
    <mergeCell ref="B457:C457"/>
    <mergeCell ref="C280:F280"/>
    <mergeCell ref="B257:C257"/>
    <mergeCell ref="B186:C186"/>
    <mergeCell ref="C147:F147"/>
    <mergeCell ref="C274:F274"/>
    <mergeCell ref="A91:B91"/>
    <mergeCell ref="B394:C394"/>
    <mergeCell ref="C382:F382"/>
    <mergeCell ref="C453:F453"/>
    <mergeCell ref="B557:C557"/>
    <mergeCell ref="A396:F396"/>
    <mergeCell ref="B265:C265"/>
    <mergeCell ref="B458:C458"/>
    <mergeCell ref="A93:B93"/>
    <mergeCell ref="D95:F95"/>
    <mergeCell ref="E50:F50"/>
    <mergeCell ref="B109:F109"/>
    <mergeCell ref="B185:C185"/>
    <mergeCell ref="B483:C483"/>
    <mergeCell ref="C371:F371"/>
    <mergeCell ref="D97:F97"/>
    <mergeCell ref="E52:F52"/>
    <mergeCell ref="A179:F179"/>
    <mergeCell ref="E44:F44"/>
    <mergeCell ref="B347:C347"/>
    <mergeCell ref="B341:C341"/>
    <mergeCell ref="B214:C214"/>
    <mergeCell ref="B176:C176"/>
    <mergeCell ref="B412:C412"/>
    <mergeCell ref="B583:C583"/>
    <mergeCell ref="C593:F593"/>
    <mergeCell ref="B484:C484"/>
    <mergeCell ref="A75:B75"/>
    <mergeCell ref="B278:C278"/>
    <mergeCell ref="B405:C405"/>
    <mergeCell ref="C402:F402"/>
    <mergeCell ref="A180:F180"/>
    <mergeCell ref="B342:C342"/>
    <mergeCell ref="B578:C578"/>
    <mergeCell ref="C143:F143"/>
    <mergeCell ref="E70:F70"/>
    <mergeCell ref="E57:F57"/>
    <mergeCell ref="C522:F522"/>
    <mergeCell ref="B359:C359"/>
    <mergeCell ref="C478:F478"/>
    <mergeCell ref="B204:C204"/>
    <mergeCell ref="B198:C198"/>
    <mergeCell ref="B489:C489"/>
    <mergeCell ref="B173:C173"/>
    <mergeCell ref="A130:B130"/>
    <mergeCell ref="B233:C233"/>
    <mergeCell ref="B531:C531"/>
    <mergeCell ref="B596:C596"/>
    <mergeCell ref="A37:F37"/>
    <mergeCell ref="C582:F582"/>
    <mergeCell ref="B571:C571"/>
    <mergeCell ref="A12:F12"/>
    <mergeCell ref="B508:C508"/>
    <mergeCell ref="C390:F390"/>
    <mergeCell ref="B293:C293"/>
    <mergeCell ref="E60:F60"/>
    <mergeCell ref="C156:F156"/>
    <mergeCell ref="A43:F43"/>
    <mergeCell ref="D98:F98"/>
    <mergeCell ref="E45:F45"/>
    <mergeCell ref="B364:C364"/>
    <mergeCell ref="B413:C413"/>
    <mergeCell ref="C301:F301"/>
    <mergeCell ref="B192:C192"/>
    <mergeCell ref="B428:C428"/>
    <mergeCell ref="B284:C284"/>
    <mergeCell ref="B344:C344"/>
    <mergeCell ref="C238:F238"/>
    <mergeCell ref="B222:C222"/>
    <mergeCell ref="C167:F167"/>
    <mergeCell ref="C232:F232"/>
    <mergeCell ref="B415:C415"/>
    <mergeCell ref="B221:C221"/>
    <mergeCell ref="C182:F182"/>
    <mergeCell ref="B479:C479"/>
    <mergeCell ref="B584:C584"/>
  </mergeCells>
  <conditionalFormatting sqref="D26:D34">
    <cfRule type="expression" rank="0" priority="2" equalAverage="0" aboveAverage="0" dxfId="19" text="" percent="0" bottom="0">
      <formula>ISNUMBER(SEARCH("NOT MET",D26))</formula>
    </cfRule>
    <cfRule type="expression" rank="0" priority="3" equalAverage="0" aboveAverage="0" dxfId="19" text="" percent="0" bottom="0">
      <formula>ISNUMBER(SEARCH("MISMATCH",D26))</formula>
    </cfRule>
    <cfRule type="expression" rank="0" priority="4" equalAverage="0" aboveAverage="0" dxfId="19" text="" percent="0" bottom="0">
      <formula>ISNUMBER(SEARCH("NOT PASSED",D26))</formula>
    </cfRule>
    <cfRule type="expression" rank="0" priority="5" equalAverage="0" aboveAverage="0" dxfId="19" text="" percent="0" bottom="0">
      <formula>ISNUMBER(SEARCH("NOT YET CONFORMANT",D26))</formula>
    </cfRule>
    <cfRule type="expression" rank="0" priority="6" equalAverage="0" aboveAverage="0" dxfId="21" text="" percent="0" bottom="0">
      <formula>ISNUMBER(SEARCH("PARTIAL",D26))</formula>
    </cfRule>
    <cfRule type="expression" rank="0" priority="7" equalAverage="0" aboveAverage="0" dxfId="21" text="" percent="0" bottom="0">
      <formula>ISNUMBER(SEARCH("IN PROGRESS",D26))</formula>
    </cfRule>
    <cfRule type="expression" rank="0" priority="8" equalAverage="0" aboveAverage="0" dxfId="21" text="" percent="0" bottom="0">
      <formula>ISNUMBER(SEARCH("INCOMPLETE",D26))</formula>
    </cfRule>
    <cfRule type="expression" rank="0" priority="9" equalAverage="0" aboveAverage="0" dxfId="22" text="" percent="0" bottom="0">
      <formula>ISNUMBER(SEARCH("NOT TESTED",D26))</formula>
    </cfRule>
    <cfRule type="expression" rank="0" priority="10" equalAverage="0" aboveAverage="0" dxfId="22" text="" percent="0" bottom="0">
      <formula>ISNUMBER(SEARCH("LOCKED",D26))</formula>
    </cfRule>
    <cfRule type="expression" rank="0" priority="11" equalAverage="0" aboveAverage="0" dxfId="22" text="" percent="0" bottom="0">
      <formula>ISNUMBER(SEARCH("Not yet compared",D26))</formula>
    </cfRule>
    <cfRule type="expression" rank="0" priority="12" equalAverage="0" aboveAverage="0" dxfId="5" text="" percent="0" bottom="0">
      <formula>ISNUMBER(SEARCH("✓",D26))</formula>
    </cfRule>
    <cfRule type="expression" rank="0" priority="13" equalAverage="0" aboveAverage="0" dxfId="5" text="" percent="0" bottom="0">
      <formula>ISNUMBER(SEARCH("PASSED",D26))</formula>
    </cfRule>
  </conditionalFormatting>
  <conditionalFormatting sqref="F35">
    <cfRule type="expression" rank="0" priority="14" equalAverage="0" aboveAverage="0" dxfId="19" text="" percent="0" bottom="0">
      <formula>ISNUMBER(SEARCH("NOT MET",F35))</formula>
    </cfRule>
    <cfRule type="expression" rank="0" priority="15" equalAverage="0" aboveAverage="0" dxfId="19" text="" percent="0" bottom="0">
      <formula>ISNUMBER(SEARCH("MISMATCH",F35))</formula>
    </cfRule>
    <cfRule type="expression" rank="0" priority="16" equalAverage="0" aboveAverage="0" dxfId="19" text="" percent="0" bottom="0">
      <formula>ISNUMBER(SEARCH("NOT PASSED",F35))</formula>
    </cfRule>
    <cfRule type="expression" rank="0" priority="17" equalAverage="0" aboveAverage="0" dxfId="19" text="" percent="0" bottom="0">
      <formula>ISNUMBER(SEARCH("NOT YET CONFORMANT",F35))</formula>
    </cfRule>
    <cfRule type="expression" rank="0" priority="18" equalAverage="0" aboveAverage="0" dxfId="21" text="" percent="0" bottom="0">
      <formula>ISNUMBER(SEARCH("PARTIAL",F35))</formula>
    </cfRule>
    <cfRule type="expression" rank="0" priority="19" equalAverage="0" aboveAverage="0" dxfId="21" text="" percent="0" bottom="0">
      <formula>ISNUMBER(SEARCH("IN PROGRESS",F35))</formula>
    </cfRule>
    <cfRule type="expression" rank="0" priority="20" equalAverage="0" aboveAverage="0" dxfId="21" text="" percent="0" bottom="0">
      <formula>ISNUMBER(SEARCH("INCOMPLETE",F35))</formula>
    </cfRule>
    <cfRule type="expression" rank="0" priority="21" equalAverage="0" aboveAverage="0" dxfId="22" text="" percent="0" bottom="0">
      <formula>ISNUMBER(SEARCH("NOT TESTED",F35))</formula>
    </cfRule>
    <cfRule type="expression" rank="0" priority="22" equalAverage="0" aboveAverage="0" dxfId="22" text="" percent="0" bottom="0">
      <formula>ISNUMBER(SEARCH("LOCKED",F35))</formula>
    </cfRule>
    <cfRule type="expression" rank="0" priority="23" equalAverage="0" aboveAverage="0" dxfId="22" text="" percent="0" bottom="0">
      <formula>ISNUMBER(SEARCH("Not yet compared",F35))</formula>
    </cfRule>
    <cfRule type="expression" rank="0" priority="24" equalAverage="0" aboveAverage="0" dxfId="5" text="" percent="0" bottom="0">
      <formula>ISNUMBER(SEARCH("✓",F35))</formula>
    </cfRule>
    <cfRule type="expression" rank="0" priority="25" equalAverage="0" aboveAverage="0" dxfId="5" text="" percent="0" bottom="0">
      <formula>ISNUMBER(SEARCH("PASSED",F35))</formula>
    </cfRule>
  </conditionalFormatting>
  <conditionalFormatting sqref="E45:E83">
    <cfRule type="expression" rank="0" priority="26" equalAverage="0" aboveAverage="0" dxfId="19" text="" percent="0" bottom="0">
      <formula>ISNUMBER(SEARCH("NOT MET",E45))</formula>
    </cfRule>
    <cfRule type="expression" rank="0" priority="27" equalAverage="0" aboveAverage="0" dxfId="19" text="" percent="0" bottom="0">
      <formula>ISNUMBER(SEARCH("MISMATCH",E45))</formula>
    </cfRule>
    <cfRule type="expression" rank="0" priority="28" equalAverage="0" aboveAverage="0" dxfId="19" text="" percent="0" bottom="0">
      <formula>ISNUMBER(SEARCH("NOT PASSED",E45))</formula>
    </cfRule>
    <cfRule type="expression" rank="0" priority="29" equalAverage="0" aboveAverage="0" dxfId="19" text="" percent="0" bottom="0">
      <formula>ISNUMBER(SEARCH("NOT YET CONFORMANT",E45))</formula>
    </cfRule>
    <cfRule type="expression" rank="0" priority="30" equalAverage="0" aboveAverage="0" dxfId="21" text="" percent="0" bottom="0">
      <formula>ISNUMBER(SEARCH("PARTIAL",E45))</formula>
    </cfRule>
    <cfRule type="expression" rank="0" priority="31" equalAverage="0" aboveAverage="0" dxfId="21" text="" percent="0" bottom="0">
      <formula>ISNUMBER(SEARCH("IN PROGRESS",E45))</formula>
    </cfRule>
    <cfRule type="expression" rank="0" priority="32" equalAverage="0" aboveAverage="0" dxfId="21" text="" percent="0" bottom="0">
      <formula>ISNUMBER(SEARCH("INCOMPLETE",E45))</formula>
    </cfRule>
    <cfRule type="expression" rank="0" priority="33" equalAverage="0" aboveAverage="0" dxfId="22" text="" percent="0" bottom="0">
      <formula>ISNUMBER(SEARCH("NOT TESTED",E45))</formula>
    </cfRule>
    <cfRule type="expression" rank="0" priority="34" equalAverage="0" aboveAverage="0" dxfId="22" text="" percent="0" bottom="0">
      <formula>ISNUMBER(SEARCH("LOCKED",E45))</formula>
    </cfRule>
    <cfRule type="expression" rank="0" priority="35" equalAverage="0" aboveAverage="0" dxfId="22" text="" percent="0" bottom="0">
      <formula>ISNUMBER(SEARCH("Not yet compared",E45))</formula>
    </cfRule>
    <cfRule type="expression" rank="0" priority="36" equalAverage="0" aboveAverage="0" dxfId="5" text="" percent="0" bottom="0">
      <formula>ISNUMBER(SEARCH("✓",E45))</formula>
    </cfRule>
    <cfRule type="expression" rank="0" priority="37" equalAverage="0" aboveAverage="0" dxfId="5" text="" percent="0" bottom="0">
      <formula>ISNUMBER(SEARCH("PASSED",E45))</formula>
    </cfRule>
  </conditionalFormatting>
  <conditionalFormatting sqref="D91:D99">
    <cfRule type="expression" rank="0" priority="38" equalAverage="0" aboveAverage="0" dxfId="19" text="" percent="0" bottom="0">
      <formula>ISNUMBER(SEARCH("NOT MET",D91))</formula>
    </cfRule>
    <cfRule type="expression" rank="0" priority="39" equalAverage="0" aboveAverage="0" dxfId="19" text="" percent="0" bottom="0">
      <formula>ISNUMBER(SEARCH("MISMATCH",D91))</formula>
    </cfRule>
    <cfRule type="expression" rank="0" priority="40" equalAverage="0" aboveAverage="0" dxfId="19" text="" percent="0" bottom="0">
      <formula>ISNUMBER(SEARCH("NOT PASSED",D91))</formula>
    </cfRule>
    <cfRule type="expression" rank="0" priority="41" equalAverage="0" aboveAverage="0" dxfId="19" text="" percent="0" bottom="0">
      <formula>ISNUMBER(SEARCH("NOT YET CONFORMANT",D91))</formula>
    </cfRule>
    <cfRule type="expression" rank="0" priority="42" equalAverage="0" aboveAverage="0" dxfId="21" text="" percent="0" bottom="0">
      <formula>ISNUMBER(SEARCH("PARTIAL",D91))</formula>
    </cfRule>
    <cfRule type="expression" rank="0" priority="43" equalAverage="0" aboveAverage="0" dxfId="21" text="" percent="0" bottom="0">
      <formula>ISNUMBER(SEARCH("IN PROGRESS",D91))</formula>
    </cfRule>
    <cfRule type="expression" rank="0" priority="44" equalAverage="0" aboveAverage="0" dxfId="21" text="" percent="0" bottom="0">
      <formula>ISNUMBER(SEARCH("INCOMPLETE",D91))</formula>
    </cfRule>
    <cfRule type="expression" rank="0" priority="45" equalAverage="0" aboveAverage="0" dxfId="22" text="" percent="0" bottom="0">
      <formula>ISNUMBER(SEARCH("NOT TESTED",D91))</formula>
    </cfRule>
    <cfRule type="expression" rank="0" priority="46" equalAverage="0" aboveAverage="0" dxfId="22" text="" percent="0" bottom="0">
      <formula>ISNUMBER(SEARCH("LOCKED",D91))</formula>
    </cfRule>
    <cfRule type="expression" rank="0" priority="47" equalAverage="0" aboveAverage="0" dxfId="22" text="" percent="0" bottom="0">
      <formula>ISNUMBER(SEARCH("Not yet compared",D91))</formula>
    </cfRule>
    <cfRule type="expression" rank="0" priority="48" equalAverage="0" aboveAverage="0" dxfId="5" text="" percent="0" bottom="0">
      <formula>ISNUMBER(SEARCH("✓",D91))</formula>
    </cfRule>
    <cfRule type="expression" rank="0" priority="49" equalAverage="0" aboveAverage="0" dxfId="5" text="" percent="0" bottom="0">
      <formula>ISNUMBER(SEARCH("PASSED",D91))</formula>
    </cfRule>
  </conditionalFormatting>
  <conditionalFormatting sqref="D133:D626">
    <cfRule type="expression" rank="0" priority="50" equalAverage="0" aboveAverage="0" dxfId="19" text="" percent="0" bottom="0">
      <formula>ISNUMBER(SEARCH("NOT MET",D133))</formula>
    </cfRule>
    <cfRule type="expression" rank="0" priority="51" equalAverage="0" aboveAverage="0" dxfId="19" text="" percent="0" bottom="0">
      <formula>ISNUMBER(SEARCH("MISMATCH",D133))</formula>
    </cfRule>
    <cfRule type="expression" rank="0" priority="52" equalAverage="0" aboveAverage="0" dxfId="19" text="" percent="0" bottom="0">
      <formula>ISNUMBER(SEARCH("NOT PASSED",D133))</formula>
    </cfRule>
    <cfRule type="expression" rank="0" priority="53" equalAverage="0" aboveAverage="0" dxfId="19" text="" percent="0" bottom="0">
      <formula>ISNUMBER(SEARCH("NOT YET CONFORMANT",D133))</formula>
    </cfRule>
    <cfRule type="expression" rank="0" priority="54" equalAverage="0" aboveAverage="0" dxfId="21" text="" percent="0" bottom="0">
      <formula>ISNUMBER(SEARCH("PARTIAL",D133))</formula>
    </cfRule>
    <cfRule type="expression" rank="0" priority="55" equalAverage="0" aboveAverage="0" dxfId="21" text="" percent="0" bottom="0">
      <formula>ISNUMBER(SEARCH("IN PROGRESS",D133))</formula>
    </cfRule>
    <cfRule type="expression" rank="0" priority="56" equalAverage="0" aboveAverage="0" dxfId="21" text="" percent="0" bottom="0">
      <formula>ISNUMBER(SEARCH("INCOMPLETE",D133))</formula>
    </cfRule>
    <cfRule type="expression" rank="0" priority="57" equalAverage="0" aboveAverage="0" dxfId="22" text="" percent="0" bottom="0">
      <formula>ISNUMBER(SEARCH("NOT TESTED",D133))</formula>
    </cfRule>
    <cfRule type="expression" rank="0" priority="58" equalAverage="0" aboveAverage="0" dxfId="22" text="" percent="0" bottom="0">
      <formula>ISNUMBER(SEARCH("LOCKED",D133))</formula>
    </cfRule>
    <cfRule type="expression" rank="0" priority="59" equalAverage="0" aboveAverage="0" dxfId="22" text="" percent="0" bottom="0">
      <formula>ISNUMBER(SEARCH("Not yet compared",D133))</formula>
    </cfRule>
    <cfRule type="expression" rank="0" priority="60" equalAverage="0" aboveAverage="0" dxfId="5" text="" percent="0" bottom="0">
      <formula>ISNUMBER(SEARCH("✓",D133))</formula>
    </cfRule>
    <cfRule type="expression" rank="0" priority="61" equalAverage="0" aboveAverage="0" dxfId="5" text="" percent="0" bottom="0">
      <formula>ISNUMBER(SEARCH("PASSED",D133))</formula>
    </cfRule>
  </conditionalFormatting>
  <conditionalFormatting sqref="F130">
    <cfRule type="expression" rank="0" priority="62" equalAverage="0" aboveAverage="0" dxfId="19" text="" percent="0" bottom="0">
      <formula>ISNUMBER(SEARCH("NOT MET",F130))</formula>
    </cfRule>
    <cfRule type="expression" rank="0" priority="63" equalAverage="0" aboveAverage="0" dxfId="19" text="" percent="0" bottom="0">
      <formula>ISNUMBER(SEARCH("MISMATCH",F130))</formula>
    </cfRule>
    <cfRule type="expression" rank="0" priority="64" equalAverage="0" aboveAverage="0" dxfId="19" text="" percent="0" bottom="0">
      <formula>ISNUMBER(SEARCH("NOT PASSED",F130))</formula>
    </cfRule>
    <cfRule type="expression" rank="0" priority="65" equalAverage="0" aboveAverage="0" dxfId="19" text="" percent="0" bottom="0">
      <formula>ISNUMBER(SEARCH("NOT YET CONFORMANT",F130))</formula>
    </cfRule>
    <cfRule type="expression" rank="0" priority="66" equalAverage="0" aboveAverage="0" dxfId="21" text="" percent="0" bottom="0">
      <formula>ISNUMBER(SEARCH("PARTIAL",F130))</formula>
    </cfRule>
    <cfRule type="expression" rank="0" priority="67" equalAverage="0" aboveAverage="0" dxfId="21" text="" percent="0" bottom="0">
      <formula>ISNUMBER(SEARCH("IN PROGRESS",F130))</formula>
    </cfRule>
    <cfRule type="expression" rank="0" priority="68" equalAverage="0" aboveAverage="0" dxfId="21" text="" percent="0" bottom="0">
      <formula>ISNUMBER(SEARCH("INCOMPLETE",F130))</formula>
    </cfRule>
    <cfRule type="expression" rank="0" priority="69" equalAverage="0" aboveAverage="0" dxfId="22" text="" percent="0" bottom="0">
      <formula>ISNUMBER(SEARCH("NOT TESTED",F130))</formula>
    </cfRule>
    <cfRule type="expression" rank="0" priority="70" equalAverage="0" aboveAverage="0" dxfId="22" text="" percent="0" bottom="0">
      <formula>ISNUMBER(SEARCH("LOCKED",F130))</formula>
    </cfRule>
    <cfRule type="expression" rank="0" priority="71" equalAverage="0" aboveAverage="0" dxfId="22" text="" percent="0" bottom="0">
      <formula>ISNUMBER(SEARCH("Not yet compared",F130))</formula>
    </cfRule>
    <cfRule type="expression" rank="0" priority="72" equalAverage="0" aboveAverage="0" dxfId="5" text="" percent="0" bottom="0">
      <formula>ISNUMBER(SEARCH("✓",F130))</formula>
    </cfRule>
    <cfRule type="expression" rank="0" priority="73" equalAverage="0" aboveAverage="0" dxfId="5" text="" percent="0" bottom="0">
      <formula>ISNUMBER(SEARCH("PASSED",F130))</formula>
    </cfRule>
  </conditionalFormatting>
  <conditionalFormatting sqref="F133:F626">
    <cfRule type="expression" rank="0" priority="74" equalAverage="0" aboveAverage="0" dxfId="20" text="" percent="0" bottom="0">
      <formula>ISNUMBER(SEARCH("need compliance",F133))</formula>
    </cfRule>
  </conditionalFormatting>
  <conditionalFormatting sqref="F26:F34">
    <cfRule type="expression" rank="0" priority="75" equalAverage="0" aboveAverage="0" dxfId="21" text="" percent="0" bottom="0">
      <formula>ISNUMBER(SEARCH("need compliance",F26))</formula>
    </cfRule>
  </conditionalFormatting>
  <conditionalFormatting sqref="C133:C626">
    <cfRule type="expression" rank="0" priority="76" equalAverage="0" aboveAverage="0" dxfId="20" text="" percent="0" bottom="0">
      <formula>LEFT(C133,1)="★"</formula>
    </cfRule>
  </conditionalFormatting>
  <printOptions horizontalCentered="0" verticalCentered="0" headings="0" gridLines="0" gridLinesSet="1"/>
  <pageMargins left="0.35" right="0.35" top="0.6" bottom="0.7" header="0.511811023622047" footer="0.25"/>
  <pageSetup orientation="portrait" paperSize="9" scale="100" fitToHeight="0" fitToWidth="1" pageOrder="downThenOver" blackAndWhite="0" draft="0" horizontalDpi="300" verticalDpi="300" copies="1"/>
  <headerFooter>
    <oddHeader>&amp;R&amp;7 Version unreleased draft · branch certificate-demo · commit e9c2d50 · built 2026-10-16 09:44 PHT</oddHeader>
    <oddFooter>&amp;L&amp;7 Healthcare Interoperability Readiness Matrix for EMR Systems&amp;C&amp;7 Page &amp;P of &amp;N</oddFooter>
    <evenHeader/>
    <evenFooter/>
    <firstHeader/>
    <firstFooter/>
  </headerFooter>
  <rowBreaks count="3" manualBreakCount="3">
    <brk id="37" min="0" max="16383" man="1"/>
    <brk id="83" min="0" max="16383" man="1"/>
    <brk id="122"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2026-09-30T16:15:51Z</dcterms:created>
  <dcterms:modified xmlns:dcterms="http://purl.org/dc/terms/" xmlns:xsi="http://www.w3.org/2001/XMLSchema-instance" xsi:type="dcterms:W3CDTF">2026-10-16T01:45:00Z</dcterms:modified>
  <cp:lastModifiedBy>Joemar Pelegrino</cp:lastModifiedBy>
  <cp:revision>0</cp:revision>
  <cp:lastPrinted>2026-09-30T17:03:59Z</cp:lastPrinted>
</cp:coreProperties>
</file>